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\Desktop\CSI API\Aplicatii\Aplicatie Nr 2.2\Aplicatie Nr 2.2\Fisier Excel Default\"/>
    </mc:Choice>
  </mc:AlternateContent>
  <xr:revisionPtr revIDLastSave="0" documentId="13_ncr:1_{D83451A9-1561-43BB-ACFA-C6823BDB104F}" xr6:coauthVersionLast="47" xr6:coauthVersionMax="47" xr10:uidLastSave="{00000000-0000-0000-0000-000000000000}"/>
  <bookViews>
    <workbookView xWindow="-28920" yWindow="-120" windowWidth="29040" windowHeight="15720" xr2:uid="{98B055F2-4768-4585-A1E1-5AE112D47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6" i="1" l="1"/>
  <c r="H26" i="1"/>
  <c r="BB33" i="1"/>
  <c r="AV33" i="1"/>
  <c r="BB27" i="1"/>
  <c r="AV27" i="1"/>
  <c r="AV25" i="1"/>
  <c r="H33" i="1"/>
  <c r="H27" i="1"/>
  <c r="N33" i="1"/>
  <c r="N27" i="1"/>
  <c r="AI30" i="1" l="1" a="1"/>
  <c r="AI30" i="1" s="1"/>
  <c r="AK30" i="1" s="1"/>
  <c r="AL30" i="1" s="1"/>
  <c r="AI29" i="1" a="1"/>
  <c r="AI29" i="1" s="1"/>
  <c r="AK32" i="1" s="1"/>
  <c r="AB30" i="1" a="1"/>
  <c r="AB30" i="1" s="1"/>
  <c r="AD30" i="1" s="1"/>
  <c r="AE30" i="1" s="1"/>
  <c r="AB29" i="1" a="1"/>
  <c r="AB29" i="1" s="1"/>
  <c r="AD31" i="1" s="1"/>
  <c r="U30" i="1" a="1"/>
  <c r="U30" i="1" s="1"/>
  <c r="W30" i="1" s="1"/>
  <c r="AI36" i="1" a="1"/>
  <c r="AI36" i="1" s="1"/>
  <c r="AI24" i="1" a="1"/>
  <c r="AI24" i="1" s="1"/>
  <c r="AB36" i="1" a="1"/>
  <c r="AB36" i="1" s="1"/>
  <c r="AB24" i="1" a="1"/>
  <c r="AB24" i="1" s="1"/>
  <c r="U36" i="1" a="1"/>
  <c r="U36" i="1" s="1"/>
  <c r="U24" i="1" a="1"/>
  <c r="U24" i="1" s="1"/>
  <c r="AI35" i="1" a="1"/>
  <c r="AI35" i="1" s="1"/>
  <c r="AI23" i="1" a="1"/>
  <c r="AI23" i="1" s="1"/>
  <c r="AI22" i="1" a="1"/>
  <c r="AI22" i="1" s="1"/>
  <c r="AB35" i="1" a="1"/>
  <c r="AB35" i="1" s="1"/>
  <c r="AB22" i="1" a="1"/>
  <c r="AB22" i="1" s="1"/>
  <c r="U23" i="1" a="1"/>
  <c r="U23" i="1" s="1"/>
  <c r="H25" i="1"/>
  <c r="AD32" i="1" l="1"/>
  <c r="AD20" i="1"/>
  <c r="AK31" i="1"/>
  <c r="AL20" i="1"/>
  <c r="AL38" i="1"/>
  <c r="AL21" i="1"/>
  <c r="AL37" i="1"/>
  <c r="AK21" i="1"/>
  <c r="AK20" i="1"/>
  <c r="AD37" i="1"/>
  <c r="AD38" i="1"/>
  <c r="AD21" i="1"/>
  <c r="U29" i="1" l="1" a="1"/>
  <c r="U29" i="1" s="1"/>
  <c r="W32" i="1" s="1"/>
  <c r="U35" i="1" a="1"/>
  <c r="U35" i="1" s="1"/>
  <c r="U22" i="1" a="1"/>
  <c r="U22" i="1" s="1"/>
  <c r="W21" i="1" l="1"/>
  <c r="X21" i="1"/>
  <c r="W20" i="1"/>
  <c r="X20" i="1"/>
  <c r="X38" i="1"/>
  <c r="X37" i="1"/>
  <c r="W31" i="1"/>
  <c r="X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</author>
  </authors>
  <commentList>
    <comment ref="T24" authorId="0" shapeId="0" xr:uid="{B81818D6-8F34-4897-ACC0-27287155E538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Input example:
1. 3fi20
2. 3fi20+2fi18
3. 2PL100*5
4. 2L100*5</t>
        </r>
      </text>
    </comment>
    <comment ref="AA24" authorId="0" shapeId="0" xr:uid="{7DD74D13-067D-4F7C-998D-CD62DB9F7B52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Input example:
1. 3fi20
2. 3fi20+2fi18
3. 2PL100*5
4. 2L100*5</t>
        </r>
      </text>
    </comment>
    <comment ref="AH24" authorId="0" shapeId="0" xr:uid="{8CF9550B-FB4D-4BC3-B579-9B3914A8310F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Input example:
1. 3fi20
2. 3fi20+2fi18
3. 2PL100*5
4. 2L100*5</t>
        </r>
      </text>
    </comment>
    <comment ref="T30" authorId="0" shapeId="0" xr:uid="{B52D214E-D6DC-44A2-B8E2-23B1DDD1ED1F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Input example:
1. 3fi20
2. 3fi20+2fi18
3. 2PL100*5
4. 2L100*5</t>
        </r>
      </text>
    </comment>
    <comment ref="AA30" authorId="0" shapeId="0" xr:uid="{B6F0937D-9268-4221-AF09-62E2A8FE1E75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Input example:
1. 3fi20
2. 3fi20+2fi18
3. 2PL100*5
4. 2L100*5</t>
        </r>
      </text>
    </comment>
    <comment ref="AH30" authorId="0" shapeId="0" xr:uid="{82CC5431-9571-4C42-BF09-468029962671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Input example:
1. 3fi20
2. 3fi20+2fi18
3. 2PL100*5
4. 2L100*5</t>
        </r>
      </text>
    </comment>
    <comment ref="T36" authorId="0" shapeId="0" xr:uid="{2098EB58-C48D-4804-946A-2CA75323B529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Input example:
1. 3fi20
2. 3fi20+2fi18
3. 2PL100*5
4. 2L100*5</t>
        </r>
      </text>
    </comment>
    <comment ref="AA36" authorId="0" shapeId="0" xr:uid="{B00A9526-7DA7-4DEF-831A-4D4AD80EBC4B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Input example:
1. 3fi20
2. 3fi20+2fi18
3. 2PL100*5
4. 2L100*5</t>
        </r>
      </text>
    </comment>
    <comment ref="AH36" authorId="0" shapeId="0" xr:uid="{1E7AEBDE-8AEB-4149-8E37-7CE43941B2AE}">
      <text>
        <r>
          <rPr>
            <b/>
            <sz val="9"/>
            <color indexed="81"/>
            <rFont val="Tahoma"/>
            <family val="2"/>
          </rPr>
          <t>Cristian:</t>
        </r>
        <r>
          <rPr>
            <sz val="9"/>
            <color indexed="81"/>
            <rFont val="Tahoma"/>
            <family val="2"/>
          </rPr>
          <t xml:space="preserve">
Input example:
1. 3fi20
2. 3fi20+2fi18
3. 2PL100*5
4. 2L100*5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<sst xmlns="http://schemas.openxmlformats.org/spreadsheetml/2006/main" count="319" uniqueCount="97">
  <si>
    <t>L=</t>
  </si>
  <si>
    <t>Beam:</t>
  </si>
  <si>
    <t>B01</t>
  </si>
  <si>
    <t>G 30x50</t>
  </si>
  <si>
    <t>End length offset</t>
  </si>
  <si>
    <t>Rigid zone factor</t>
  </si>
  <si>
    <t>Parter</t>
  </si>
  <si>
    <t>Etaj:</t>
  </si>
  <si>
    <t>Section Overides</t>
  </si>
  <si>
    <t>Model Overides</t>
  </si>
  <si>
    <t>End Releases:</t>
  </si>
  <si>
    <t>M22</t>
  </si>
  <si>
    <t>M33</t>
  </si>
  <si>
    <t>None</t>
  </si>
  <si>
    <t>Material:</t>
  </si>
  <si>
    <t>C30/35</t>
  </si>
  <si>
    <t>Sec. type:</t>
  </si>
  <si>
    <t>Asl.ef=</t>
  </si>
  <si>
    <t>Ast.ef=</t>
  </si>
  <si>
    <t>3fi28</t>
  </si>
  <si>
    <t>2fi10/100</t>
  </si>
  <si>
    <t>VEd.GF=</t>
  </si>
  <si>
    <t>VEd.GS=</t>
  </si>
  <si>
    <t>Ast.GF.nec=</t>
  </si>
  <si>
    <t>Ast.GS.nec=</t>
  </si>
  <si>
    <t>c.eff.top</t>
  </si>
  <si>
    <t>c.eff.bott</t>
  </si>
  <si>
    <t>5fi28</t>
  </si>
  <si>
    <t>Asl.ef.placa=</t>
  </si>
  <si>
    <t>10fi10</t>
  </si>
  <si>
    <t>10fi28+2fi20</t>
  </si>
  <si>
    <t>MRc=</t>
  </si>
  <si>
    <t>[kN*m]</t>
  </si>
  <si>
    <t>[mm2]</t>
  </si>
  <si>
    <t>[mm2/m]</t>
  </si>
  <si>
    <t>[kN]</t>
  </si>
  <si>
    <t>Column:</t>
  </si>
  <si>
    <t>C01</t>
  </si>
  <si>
    <t>MRb.1=</t>
  </si>
  <si>
    <t>γRd x ΣMRb</t>
  </si>
  <si>
    <t>ΣMRc</t>
  </si>
  <si>
    <t>[m]</t>
  </si>
  <si>
    <t>Joint:</t>
  </si>
  <si>
    <t>A</t>
  </si>
  <si>
    <t>Av2</t>
  </si>
  <si>
    <t>Av3</t>
  </si>
  <si>
    <t>T</t>
  </si>
  <si>
    <t>M3</t>
  </si>
  <si>
    <t>M2</t>
  </si>
  <si>
    <t>M</t>
  </si>
  <si>
    <t>W</t>
  </si>
  <si>
    <t>Width</t>
  </si>
  <si>
    <t>Depth</t>
  </si>
  <si>
    <t>Concrete Rectangular</t>
  </si>
  <si>
    <t>Flange thk.</t>
  </si>
  <si>
    <t>beff</t>
  </si>
  <si>
    <t>Prop Name</t>
  </si>
  <si>
    <t>S500C</t>
  </si>
  <si>
    <t>[MPa]</t>
  </si>
  <si>
    <t>[cm]</t>
  </si>
  <si>
    <t>Nx</t>
  </si>
  <si>
    <t>V2</t>
  </si>
  <si>
    <t>V3</t>
  </si>
  <si>
    <t>Ductility Class:</t>
  </si>
  <si>
    <t>fck</t>
  </si>
  <si>
    <t>R medii</t>
  </si>
  <si>
    <t>MRb.2=</t>
  </si>
  <si>
    <t>Asl.supl.=</t>
  </si>
  <si>
    <t>Rezistente de calcul:</t>
  </si>
  <si>
    <t>2L100*5</t>
  </si>
  <si>
    <t>Ast.supl.=</t>
  </si>
  <si>
    <t>Material de consolidare M:</t>
  </si>
  <si>
    <t>Material de consolidare FT:</t>
  </si>
  <si>
    <t>fyk</t>
  </si>
  <si>
    <t>fuk</t>
  </si>
  <si>
    <t>fym</t>
  </si>
  <si>
    <t>fum</t>
  </si>
  <si>
    <t>fyk [MPa]</t>
  </si>
  <si>
    <t>MEd.GF=</t>
  </si>
  <si>
    <t>MEd.GS=</t>
  </si>
  <si>
    <t>Asl.nec.GF=</t>
  </si>
  <si>
    <t>Asl.nec.GS=</t>
  </si>
  <si>
    <t>2PL100*5</t>
  </si>
  <si>
    <t>GUID:</t>
  </si>
  <si>
    <t>Unique Name:</t>
  </si>
  <si>
    <t>Label:</t>
  </si>
  <si>
    <t>rtyhdddddddddddddddddddrthgrthr</t>
  </si>
  <si>
    <t>Material Overides</t>
  </si>
  <si>
    <t>Long.</t>
  </si>
  <si>
    <t>Trans.</t>
  </si>
  <si>
    <t>2PL100*5/200</t>
  </si>
  <si>
    <t>[rad]</t>
  </si>
  <si>
    <t>θ.max.poz=</t>
  </si>
  <si>
    <t>θ.cap.poz =</t>
  </si>
  <si>
    <t>θ.max.neg=</t>
  </si>
  <si>
    <t>θ.cap.neg =</t>
  </si>
  <si>
    <t>DCL.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</si>
</sst>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11" xfId="0" applyBorder="1"/>
    <xf numFmtId="0" fontId="0" fillId="0" borderId="16" xfId="0" applyBorder="1"/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1" fontId="0" fillId="0" borderId="19" xfId="0" applyNumberFormat="1" applyBorder="1" applyAlignment="1">
      <alignment horizontal="center" vertical="center"/>
    </xf>
    <xf numFmtId="0" fontId="0" fillId="3" borderId="13" xfId="0" applyFill="1" applyBorder="1"/>
    <xf numFmtId="0" fontId="0" fillId="3" borderId="14" xfId="0" applyFill="1" applyBorder="1"/>
    <xf numFmtId="0" fontId="0" fillId="0" borderId="26" xfId="0" applyBorder="1"/>
    <xf numFmtId="0" fontId="0" fillId="0" borderId="27" xfId="0" applyBorder="1"/>
    <xf numFmtId="0" fontId="0" fillId="0" borderId="13" xfId="0" applyBorder="1"/>
    <xf numFmtId="0" fontId="0" fillId="0" borderId="14" xfId="0" applyBorder="1"/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10" xfId="0" applyFont="1" applyBorder="1"/>
    <xf numFmtId="0" fontId="3" fillId="0" borderId="13" xfId="0" applyFont="1" applyBorder="1"/>
    <xf numFmtId="0" fontId="3" fillId="0" borderId="13" xfId="0" applyFont="1" applyBorder="1" applyAlignment="1">
      <alignment vertical="center"/>
    </xf>
    <xf numFmtId="0" fontId="3" fillId="0" borderId="15" xfId="0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3" fillId="0" borderId="11" xfId="0" applyFont="1" applyBorder="1"/>
    <xf numFmtId="0" fontId="3" fillId="0" borderId="16" xfId="0" applyFont="1" applyBorder="1"/>
    <xf numFmtId="0" fontId="3" fillId="0" borderId="13" xfId="0" applyFont="1" applyBorder="1" applyAlignment="1">
      <alignment horizontal="left" vertical="center"/>
    </xf>
    <xf numFmtId="1" fontId="0" fillId="0" borderId="0" xfId="0" applyNumberFormat="1"/>
    <xf numFmtId="0" fontId="0" fillId="4" borderId="0" xfId="0" applyFill="1"/>
    <xf numFmtId="0" fontId="0" fillId="4" borderId="0" xfId="0" applyFill="1" applyAlignment="1">
      <alignment horizontal="right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11" xfId="0" applyFont="1" applyBorder="1" applyAlignment="1">
      <alignment horizontal="center"/>
    </xf>
    <xf numFmtId="0" fontId="7" fillId="0" borderId="11" xfId="0" applyFont="1" applyBorder="1"/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6" xfId="0" applyFont="1" applyBorder="1"/>
    <xf numFmtId="0" fontId="7" fillId="0" borderId="12" xfId="0" applyFont="1" applyBorder="1"/>
    <xf numFmtId="0" fontId="7" fillId="0" borderId="14" xfId="0" applyFont="1" applyBorder="1"/>
    <xf numFmtId="0" fontId="7" fillId="0" borderId="17" xfId="0" applyFont="1" applyBorder="1"/>
    <xf numFmtId="0" fontId="8" fillId="0" borderId="0" xfId="0" applyFont="1"/>
    <xf numFmtId="0" fontId="8" fillId="0" borderId="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" fillId="0" borderId="1" xfId="0" applyFont="1" applyBorder="1"/>
    <xf numFmtId="0" fontId="8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8" fillId="0" borderId="4" xfId="0" applyFont="1" applyBorder="1"/>
    <xf numFmtId="0" fontId="8" fillId="2" borderId="9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3" fillId="0" borderId="5" xfId="0" applyFont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8" fillId="0" borderId="2" xfId="0" applyFont="1" applyBorder="1"/>
    <xf numFmtId="0" fontId="8" fillId="0" borderId="6" xfId="0" applyFont="1" applyBorder="1"/>
    <xf numFmtId="2" fontId="7" fillId="5" borderId="9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16" xfId="0" applyFont="1" applyFill="1" applyBorder="1" applyAlignment="1">
      <alignment horizontal="center" vertical="center"/>
    </xf>
    <xf numFmtId="0" fontId="2" fillId="3" borderId="13" xfId="0" applyFont="1" applyFill="1" applyBorder="1"/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2" fontId="7" fillId="5" borderId="18" xfId="0" applyNumberFormat="1" applyFont="1" applyFill="1" applyBorder="1" applyAlignment="1">
      <alignment horizontal="center" vertical="center"/>
    </xf>
    <xf numFmtId="2" fontId="7" fillId="5" borderId="29" xfId="0" applyNumberFormat="1" applyFont="1" applyFill="1" applyBorder="1" applyAlignment="1">
      <alignment horizontal="center" vertical="center"/>
    </xf>
    <xf numFmtId="2" fontId="7" fillId="5" borderId="19" xfId="0" applyNumberFormat="1" applyFont="1" applyFill="1" applyBorder="1" applyAlignment="1">
      <alignment horizontal="center" vertical="center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 textRotation="90"/>
    </xf>
    <xf numFmtId="0" fontId="8" fillId="0" borderId="20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2" fillId="3" borderId="10" xfId="0" applyFont="1" applyFill="1" applyBorder="1" applyAlignment="1">
      <alignment horizontal="right" vertical="center"/>
    </xf>
    <xf numFmtId="0" fontId="2" fillId="3" borderId="11" xfId="0" applyFont="1" applyFill="1" applyBorder="1" applyAlignment="1">
      <alignment horizontal="right" vertical="center"/>
    </xf>
    <xf numFmtId="0" fontId="9" fillId="0" borderId="2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textRotation="90"/>
    </xf>
    <xf numFmtId="2" fontId="7" fillId="5" borderId="30" xfId="0" applyNumberFormat="1" applyFont="1" applyFill="1" applyBorder="1" applyAlignment="1">
      <alignment horizontal="center" vertical="center"/>
    </xf>
    <xf numFmtId="2" fontId="7" fillId="5" borderId="31" xfId="0" applyNumberFormat="1" applyFont="1" applyFill="1" applyBorder="1" applyAlignment="1">
      <alignment horizontal="center" vertical="center"/>
    </xf>
    <xf numFmtId="2" fontId="7" fillId="5" borderId="32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0" fillId="3" borderId="22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8" fillId="0" borderId="28" xfId="0" applyFont="1" applyBorder="1" applyAlignment="1">
      <alignment horizontal="center"/>
    </xf>
    <xf numFmtId="0" fontId="2" fillId="3" borderId="11" xfId="0" applyFont="1" applyFill="1" applyBorder="1" applyAlignment="1">
      <alignment horizontal="left" vertical="top"/>
    </xf>
    <xf numFmtId="0" fontId="2" fillId="3" borderId="12" xfId="0" applyFont="1" applyFill="1" applyBorder="1" applyAlignment="1">
      <alignment horizontal="left" vertical="top"/>
    </xf>
    <xf numFmtId="0" fontId="0" fillId="3" borderId="11" xfId="0" applyFill="1" applyBorder="1" applyAlignment="1">
      <alignment horizontal="center" vertical="top"/>
    </xf>
    <xf numFmtId="2" fontId="0" fillId="3" borderId="0" xfId="0" applyNumberFormat="1" applyFill="1" applyAlignment="1">
      <alignment horizontal="center" vertical="top"/>
    </xf>
    <xf numFmtId="2" fontId="7" fillId="3" borderId="14" xfId="0" applyNumberFormat="1" applyFont="1" applyFill="1" applyBorder="1" applyAlignment="1">
      <alignment horizontal="center" vertical="center"/>
    </xf>
    <xf numFmtId="2" fontId="7" fillId="3" borderId="17" xfId="0" applyNumberFormat="1" applyFont="1" applyFill="1" applyBorder="1" applyAlignment="1">
      <alignment horizontal="center" vertical="center"/>
    </xf>
    <xf numFmtId="2" fontId="7" fillId="3" borderId="0" xfId="0" applyNumberFormat="1" applyFont="1" applyFill="1" applyAlignment="1">
      <alignment horizontal="center" vertical="center"/>
    </xf>
    <xf numFmtId="2" fontId="7" fillId="3" borderId="16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1">
    <cellStyle name="Normal" xfId="0" builtinId="0"/>
  </cellStyles>
  <dxfs count="5">
    <dxf>
      <font>
        <b val="0"/>
        <i val="0"/>
        <color rgb="FFFF0000"/>
      </font>
      <fill>
        <patternFill patternType="none">
          <bgColor auto="1"/>
        </patternFill>
      </fill>
    </dxf>
    <dxf>
      <font>
        <color theme="6"/>
      </font>
      <fill>
        <patternFill patternType="none">
          <fgColor auto="1"/>
          <bgColor auto="1"/>
        </patternFill>
      </fill>
    </dxf>
    <dxf>
      <fill>
        <patternFill>
          <bgColor theme="5" tint="0.79998168889431442"/>
        </patternFill>
      </fill>
    </dxf>
    <dxf>
      <font>
        <b val="0"/>
        <i val="0"/>
        <color rgb="FFFF0000"/>
      </font>
      <fill>
        <patternFill patternType="solid">
          <bgColor theme="0" tint="-0.14996795556505021"/>
        </patternFill>
      </fill>
    </dxf>
    <dxf>
      <font>
        <color theme="6"/>
      </font>
      <fill>
        <patternFill patternType="solid">
          <fgColor auto="1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347441</xdr:colOff>
      <xdr:row>21</xdr:row>
      <xdr:rowOff>102503</xdr:rowOff>
    </xdr:from>
    <xdr:to>
      <xdr:col>8</xdr:col>
      <xdr:colOff>301104</xdr:colOff>
      <xdr:row>21</xdr:row>
      <xdr:rowOff>318320</xdr:rowOff>
    </xdr:to>
    <xdr:sp macro="" textlink="">
      <xdr:nvSpPr>
        <xdr:cNvPr id="2" name="Arrow: Curved Down 1">
          <a:extLst>
            <a:ext uri="{FF2B5EF4-FFF2-40B4-BE49-F238E27FC236}">
              <a16:creationId xmlns:a16="http://schemas.microsoft.com/office/drawing/2014/main" id="{9C3746D9-4D2D-4D2B-B44D-C510EEAECDA2}"/>
            </a:ext>
          </a:extLst>
        </xdr:cNvPr>
        <xdr:cNvSpPr/>
      </xdr:nvSpPr>
      <xdr:spPr>
        <a:xfrm rot="10800000" flipH="1">
          <a:off x="1566641" y="3778032"/>
          <a:ext cx="563263" cy="215817"/>
        </a:xfrm>
        <a:prstGeom prst="curvedDownArrow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311582</xdr:colOff>
      <xdr:row>34</xdr:row>
      <xdr:rowOff>93537</xdr:rowOff>
    </xdr:from>
    <xdr:to>
      <xdr:col>8</xdr:col>
      <xdr:colOff>265245</xdr:colOff>
      <xdr:row>34</xdr:row>
      <xdr:rowOff>309354</xdr:rowOff>
    </xdr:to>
    <xdr:sp macro="" textlink="">
      <xdr:nvSpPr>
        <xdr:cNvPr id="3" name="Arrow: Curved Down 2">
          <a:extLst>
            <a:ext uri="{FF2B5EF4-FFF2-40B4-BE49-F238E27FC236}">
              <a16:creationId xmlns:a16="http://schemas.microsoft.com/office/drawing/2014/main" id="{9BC165CF-34EB-8D73-61B9-927AF8E40406}"/>
            </a:ext>
          </a:extLst>
        </xdr:cNvPr>
        <xdr:cNvSpPr/>
      </xdr:nvSpPr>
      <xdr:spPr>
        <a:xfrm flipH="1">
          <a:off x="1530782" y="6162643"/>
          <a:ext cx="563263" cy="215817"/>
        </a:xfrm>
        <a:prstGeom prst="curvedDownArrow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62756</xdr:colOff>
      <xdr:row>27</xdr:row>
      <xdr:rowOff>125509</xdr:rowOff>
    </xdr:from>
    <xdr:to>
      <xdr:col>17</xdr:col>
      <xdr:colOff>331698</xdr:colOff>
      <xdr:row>30</xdr:row>
      <xdr:rowOff>80686</xdr:rowOff>
    </xdr:to>
    <xdr:sp macro="" textlink="">
      <xdr:nvSpPr>
        <xdr:cNvPr id="4" name="Arrow: Curved Down 3">
          <a:extLst>
            <a:ext uri="{FF2B5EF4-FFF2-40B4-BE49-F238E27FC236}">
              <a16:creationId xmlns:a16="http://schemas.microsoft.com/office/drawing/2014/main" id="{E20FADD7-81D4-8894-03F7-626C87385B08}"/>
            </a:ext>
          </a:extLst>
        </xdr:cNvPr>
        <xdr:cNvSpPr/>
      </xdr:nvSpPr>
      <xdr:spPr>
        <a:xfrm rot="16200000" flipH="1">
          <a:off x="3774144" y="4858874"/>
          <a:ext cx="699247" cy="268942"/>
        </a:xfrm>
        <a:prstGeom prst="curvedDownArrow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143435</xdr:colOff>
      <xdr:row>28</xdr:row>
      <xdr:rowOff>80682</xdr:rowOff>
    </xdr:from>
    <xdr:to>
      <xdr:col>17</xdr:col>
      <xdr:colOff>349624</xdr:colOff>
      <xdr:row>29</xdr:row>
      <xdr:rowOff>71717</xdr:rowOff>
    </xdr:to>
    <xdr:sp macro="" textlink="">
      <xdr:nvSpPr>
        <xdr:cNvPr id="5" name="Arrow: Curved Down 4">
          <a:extLst>
            <a:ext uri="{FF2B5EF4-FFF2-40B4-BE49-F238E27FC236}">
              <a16:creationId xmlns:a16="http://schemas.microsoft.com/office/drawing/2014/main" id="{708100E5-758F-4B41-86B1-E178F644EB9B}"/>
            </a:ext>
          </a:extLst>
        </xdr:cNvPr>
        <xdr:cNvSpPr/>
      </xdr:nvSpPr>
      <xdr:spPr>
        <a:xfrm rot="16200000">
          <a:off x="3984812" y="4863352"/>
          <a:ext cx="376517" cy="206189"/>
        </a:xfrm>
        <a:prstGeom prst="curvedDownArrow">
          <a:avLst/>
        </a:prstGeom>
        <a:solidFill>
          <a:schemeClr val="bg2">
            <a:lumMod val="9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10870</xdr:colOff>
      <xdr:row>38</xdr:row>
      <xdr:rowOff>134470</xdr:rowOff>
    </xdr:from>
    <xdr:to>
      <xdr:col>38</xdr:col>
      <xdr:colOff>0</xdr:colOff>
      <xdr:row>38</xdr:row>
      <xdr:rowOff>134470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5948EA0-1AC7-4CA3-BF3E-C244DE583AEF}"/>
            </a:ext>
          </a:extLst>
        </xdr:cNvPr>
        <xdr:cNvCxnSpPr/>
      </xdr:nvCxnSpPr>
      <xdr:spPr>
        <a:xfrm flipH="1">
          <a:off x="4336341" y="7238999"/>
          <a:ext cx="1150877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111867</xdr:colOff>
      <xdr:row>27</xdr:row>
      <xdr:rowOff>143434</xdr:rowOff>
    </xdr:from>
    <xdr:to>
      <xdr:col>38</xdr:col>
      <xdr:colOff>353910</xdr:colOff>
      <xdr:row>30</xdr:row>
      <xdr:rowOff>71717</xdr:rowOff>
    </xdr:to>
    <xdr:sp macro="" textlink="">
      <xdr:nvSpPr>
        <xdr:cNvPr id="17" name="Arrow: Curved Down 16">
          <a:extLst>
            <a:ext uri="{FF2B5EF4-FFF2-40B4-BE49-F238E27FC236}">
              <a16:creationId xmlns:a16="http://schemas.microsoft.com/office/drawing/2014/main" id="{84659116-8C00-4008-A6D9-01EE4F5E4BA6}"/>
            </a:ext>
          </a:extLst>
        </xdr:cNvPr>
        <xdr:cNvSpPr/>
      </xdr:nvSpPr>
      <xdr:spPr>
        <a:xfrm rot="16200000" flipH="1" flipV="1">
          <a:off x="16032209" y="5585597"/>
          <a:ext cx="683656" cy="242043"/>
        </a:xfrm>
        <a:prstGeom prst="curvedDownArrow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78734</xdr:colOff>
      <xdr:row>28</xdr:row>
      <xdr:rowOff>80682</xdr:rowOff>
    </xdr:from>
    <xdr:to>
      <xdr:col>38</xdr:col>
      <xdr:colOff>275957</xdr:colOff>
      <xdr:row>29</xdr:row>
      <xdr:rowOff>71717</xdr:rowOff>
    </xdr:to>
    <xdr:sp macro="" textlink="">
      <xdr:nvSpPr>
        <xdr:cNvPr id="18" name="Arrow: Curved Down 17">
          <a:extLst>
            <a:ext uri="{FF2B5EF4-FFF2-40B4-BE49-F238E27FC236}">
              <a16:creationId xmlns:a16="http://schemas.microsoft.com/office/drawing/2014/main" id="{1A41C1D0-FD27-47C0-85E2-949855391B6D}"/>
            </a:ext>
          </a:extLst>
        </xdr:cNvPr>
        <xdr:cNvSpPr/>
      </xdr:nvSpPr>
      <xdr:spPr>
        <a:xfrm rot="16200000" flipV="1">
          <a:off x="16130820" y="5576631"/>
          <a:ext cx="375348" cy="197223"/>
        </a:xfrm>
        <a:prstGeom prst="curvedDownArrow">
          <a:avLst/>
        </a:prstGeom>
        <a:solidFill>
          <a:schemeClr val="bg2">
            <a:lumMod val="9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47</xdr:col>
      <xdr:colOff>347441</xdr:colOff>
      <xdr:row>21</xdr:row>
      <xdr:rowOff>102503</xdr:rowOff>
    </xdr:from>
    <xdr:to>
      <xdr:col>48</xdr:col>
      <xdr:colOff>301104</xdr:colOff>
      <xdr:row>21</xdr:row>
      <xdr:rowOff>318320</xdr:rowOff>
    </xdr:to>
    <xdr:sp macro="" textlink="">
      <xdr:nvSpPr>
        <xdr:cNvPr id="8" name="Arrow: Curved Down 7">
          <a:extLst>
            <a:ext uri="{FF2B5EF4-FFF2-40B4-BE49-F238E27FC236}">
              <a16:creationId xmlns:a16="http://schemas.microsoft.com/office/drawing/2014/main" id="{678782F7-9521-43A0-8C4B-B3A16A1B2163}"/>
            </a:ext>
          </a:extLst>
        </xdr:cNvPr>
        <xdr:cNvSpPr/>
      </xdr:nvSpPr>
      <xdr:spPr>
        <a:xfrm rot="10800000" flipH="1">
          <a:off x="2391394" y="3885609"/>
          <a:ext cx="563263" cy="215817"/>
        </a:xfrm>
        <a:prstGeom prst="curvedDownArrow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47</xdr:col>
      <xdr:colOff>311582</xdr:colOff>
      <xdr:row>34</xdr:row>
      <xdr:rowOff>93537</xdr:rowOff>
    </xdr:from>
    <xdr:to>
      <xdr:col>48</xdr:col>
      <xdr:colOff>265245</xdr:colOff>
      <xdr:row>34</xdr:row>
      <xdr:rowOff>309354</xdr:rowOff>
    </xdr:to>
    <xdr:sp macro="" textlink="">
      <xdr:nvSpPr>
        <xdr:cNvPr id="9" name="Arrow: Curved Down 8">
          <a:extLst>
            <a:ext uri="{FF2B5EF4-FFF2-40B4-BE49-F238E27FC236}">
              <a16:creationId xmlns:a16="http://schemas.microsoft.com/office/drawing/2014/main" id="{018F8042-1D3A-4F7D-9746-9E2F070E9A33}"/>
            </a:ext>
          </a:extLst>
        </xdr:cNvPr>
        <xdr:cNvSpPr/>
      </xdr:nvSpPr>
      <xdr:spPr>
        <a:xfrm flipH="1">
          <a:off x="2355535" y="6628808"/>
          <a:ext cx="563263" cy="215817"/>
        </a:xfrm>
        <a:prstGeom prst="curvedDownArrow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AE42-2EDF-4863-9653-D53FCB2793B5}">
  <dimension ref="A1:BC53"/>
  <sheetViews>
    <sheetView tabSelected="1" zoomScale="75" zoomScaleNormal="75" zoomScaleSheetLayoutView="55" workbookViewId="0">
      <selection activeCell="AO12" sqref="AO12"/>
    </sheetView>
  </sheetViews>
  <sheetFormatPr defaultRowHeight="14.4" x14ac:dyDescent="0.3"/>
  <cols>
    <col min="1" max="1" width="2.6640625" customWidth="1"/>
    <col min="2" max="2" width="2.88671875" customWidth="1"/>
    <col min="4" max="4" width="3" customWidth="1"/>
    <col min="5" max="6" width="3.6640625" customWidth="1"/>
    <col min="7" max="7" width="4.6640625" customWidth="1"/>
    <col min="10" max="10" width="3" customWidth="1"/>
    <col min="11" max="12" width="3.6640625" customWidth="1"/>
    <col min="13" max="13" width="4.6640625" customWidth="1"/>
    <col min="14" max="14" width="5.6640625" customWidth="1"/>
    <col min="15" max="16" width="3.109375" customWidth="1"/>
    <col min="17" max="17" width="3.5546875" customWidth="1"/>
    <col min="18" max="18" width="5.88671875" customWidth="1"/>
    <col min="19" max="19" width="11.33203125" customWidth="1"/>
    <col min="20" max="20" width="14.6640625" customWidth="1"/>
    <col min="23" max="25" width="5.33203125" customWidth="1"/>
    <col min="26" max="26" width="10.6640625" customWidth="1"/>
    <col min="27" max="27" width="14.6640625" customWidth="1"/>
    <col min="30" max="32" width="5.33203125" customWidth="1"/>
    <col min="33" max="33" width="10.6640625" customWidth="1"/>
    <col min="34" max="34" width="14.6640625" customWidth="1"/>
    <col min="37" max="38" width="5.33203125" customWidth="1"/>
    <col min="39" max="39" width="5.88671875" customWidth="1"/>
    <col min="40" max="40" width="3.109375" customWidth="1"/>
    <col min="41" max="41" width="3.6640625" customWidth="1"/>
    <col min="42" max="42" width="2.88671875" customWidth="1"/>
    <col min="44" max="44" width="3" customWidth="1"/>
    <col min="45" max="46" width="3.6640625" customWidth="1"/>
    <col min="47" max="47" width="4.6640625" customWidth="1"/>
    <col min="50" max="50" width="3" customWidth="1"/>
    <col min="51" max="52" width="3.6640625" customWidth="1"/>
    <col min="53" max="53" width="4.6640625" customWidth="1"/>
    <col min="54" max="54" width="5.6640625" customWidth="1"/>
    <col min="55" max="56" width="3.109375" customWidth="1"/>
    <col min="57" max="57" width="3.5546875" customWidth="1"/>
    <col min="58" max="58" width="5.88671875" customWidth="1"/>
    <col min="59" max="59" width="11.33203125" customWidth="1"/>
    <col min="60" max="60" width="14.6640625" customWidth="1"/>
    <col min="63" max="65" width="5.33203125" customWidth="1"/>
    <col min="66" max="66" width="10.6640625" customWidth="1"/>
    <col min="67" max="67" width="14.6640625" customWidth="1"/>
    <col min="70" max="72" width="5.33203125" customWidth="1"/>
    <col min="73" max="73" width="10.6640625" customWidth="1"/>
    <col min="74" max="74" width="14.6640625" customWidth="1"/>
    <col min="77" max="78" width="5.33203125" customWidth="1"/>
    <col min="79" max="79" width="5.88671875" customWidth="1"/>
    <col min="80" max="80" width="3.109375" customWidth="1"/>
    <col min="81" max="81" width="3.6640625" customWidth="1"/>
    <col min="82" max="82" width="2.88671875" customWidth="1"/>
    <col min="84" max="84" width="3" customWidth="1"/>
    <col min="85" max="86" width="3.6640625" customWidth="1"/>
    <col min="87" max="87" width="4.6640625" customWidth="1"/>
    <col min="90" max="90" width="3" customWidth="1"/>
    <col min="91" max="92" width="3.6640625" customWidth="1"/>
    <col min="93" max="93" width="4.6640625" customWidth="1"/>
    <col min="94" max="94" width="5.6640625" customWidth="1"/>
    <col min="95" max="95" width="3.109375" customWidth="1"/>
  </cols>
  <sheetData>
    <row r="1" spans="1:55" x14ac:dyDescent="0.3"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</row>
    <row r="2" spans="1:55" x14ac:dyDescent="0.3"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95" t="s">
        <v>63</v>
      </c>
      <c r="T2" s="95"/>
      <c r="U2" s="61"/>
      <c r="V2" s="105" t="s">
        <v>9</v>
      </c>
      <c r="W2" s="106"/>
      <c r="X2" s="61"/>
      <c r="Y2" s="61"/>
      <c r="Z2" s="64" t="s">
        <v>56</v>
      </c>
      <c r="AA2" s="111" t="s">
        <v>3</v>
      </c>
      <c r="AB2" s="112"/>
      <c r="AC2" s="61"/>
      <c r="AD2" s="63" t="s">
        <v>88</v>
      </c>
      <c r="AE2" s="109" t="s">
        <v>57</v>
      </c>
      <c r="AF2" s="109"/>
      <c r="AG2" s="110"/>
      <c r="AH2" s="61"/>
      <c r="AI2" s="105" t="s">
        <v>8</v>
      </c>
      <c r="AJ2" s="106"/>
      <c r="AK2" s="65"/>
      <c r="AL2" s="61"/>
      <c r="AM2" s="61"/>
      <c r="AN2" s="61"/>
      <c r="AO2" s="61"/>
      <c r="AP2" s="61"/>
      <c r="AQ2" s="61"/>
      <c r="AR2" s="61"/>
      <c r="AS2" s="61"/>
      <c r="AT2" s="61"/>
      <c r="AU2" s="61"/>
    </row>
    <row r="3" spans="1:55" x14ac:dyDescent="0.3"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115" t="s">
        <v>96</v>
      </c>
      <c r="T3" s="116"/>
      <c r="U3" s="61"/>
      <c r="V3" s="66" t="s">
        <v>43</v>
      </c>
      <c r="W3" s="67">
        <v>1</v>
      </c>
      <c r="X3" s="61"/>
      <c r="Y3" s="61"/>
      <c r="Z3" s="68" t="s">
        <v>14</v>
      </c>
      <c r="AA3" s="113" t="s">
        <v>15</v>
      </c>
      <c r="AB3" s="114"/>
      <c r="AC3" s="61"/>
      <c r="AD3" s="66" t="s">
        <v>73</v>
      </c>
      <c r="AE3" s="65">
        <v>500</v>
      </c>
      <c r="AF3" s="65"/>
      <c r="AG3" s="69" t="s">
        <v>58</v>
      </c>
      <c r="AH3" s="61"/>
      <c r="AI3" s="66" t="s">
        <v>43</v>
      </c>
      <c r="AJ3" s="67">
        <v>1</v>
      </c>
      <c r="AK3" s="65"/>
      <c r="AL3" s="61"/>
      <c r="AM3" s="61"/>
      <c r="AN3" s="61"/>
      <c r="AO3" s="61"/>
      <c r="AP3" s="61"/>
      <c r="AQ3" s="61"/>
      <c r="AR3" s="61"/>
      <c r="AS3" s="61"/>
      <c r="AT3" s="61"/>
      <c r="AU3" s="61"/>
    </row>
    <row r="4" spans="1:55" x14ac:dyDescent="0.3"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6" t="s">
        <v>44</v>
      </c>
      <c r="W4" s="67">
        <v>1</v>
      </c>
      <c r="X4" s="61"/>
      <c r="Y4" s="61"/>
      <c r="Z4" s="70" t="s">
        <v>64</v>
      </c>
      <c r="AA4" s="65">
        <v>30</v>
      </c>
      <c r="AB4" s="69" t="s">
        <v>58</v>
      </c>
      <c r="AC4" s="61"/>
      <c r="AD4" s="66" t="s">
        <v>74</v>
      </c>
      <c r="AE4" s="65">
        <v>550</v>
      </c>
      <c r="AF4" s="65"/>
      <c r="AG4" s="69" t="s">
        <v>58</v>
      </c>
      <c r="AH4" s="61"/>
      <c r="AI4" s="66" t="s">
        <v>44</v>
      </c>
      <c r="AJ4" s="67">
        <v>1</v>
      </c>
      <c r="AK4" s="65"/>
      <c r="AL4" s="61"/>
      <c r="AM4" s="61"/>
      <c r="AN4" s="61"/>
      <c r="AO4" s="61"/>
      <c r="AP4" s="61"/>
      <c r="AQ4" s="61"/>
      <c r="AR4" s="61"/>
      <c r="AS4" s="61"/>
      <c r="AT4" s="61"/>
      <c r="AU4" s="61"/>
    </row>
    <row r="5" spans="1:55" x14ac:dyDescent="0.3"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71"/>
      <c r="S5" s="105" t="s">
        <v>68</v>
      </c>
      <c r="T5" s="106"/>
      <c r="U5" s="61"/>
      <c r="V5" s="66" t="s">
        <v>45</v>
      </c>
      <c r="W5" s="67">
        <v>1</v>
      </c>
      <c r="X5" s="61"/>
      <c r="Y5" s="61"/>
      <c r="Z5" s="68" t="s">
        <v>16</v>
      </c>
      <c r="AA5" s="113" t="s">
        <v>53</v>
      </c>
      <c r="AB5" s="114"/>
      <c r="AC5" s="61"/>
      <c r="AD5" s="66" t="s">
        <v>75</v>
      </c>
      <c r="AE5" s="65">
        <v>600</v>
      </c>
      <c r="AF5" s="65"/>
      <c r="AG5" s="69" t="s">
        <v>58</v>
      </c>
      <c r="AH5" s="61"/>
      <c r="AI5" s="66" t="s">
        <v>45</v>
      </c>
      <c r="AJ5" s="67">
        <v>1</v>
      </c>
      <c r="AK5" s="65"/>
      <c r="AL5" s="61"/>
      <c r="AM5" s="61"/>
      <c r="AN5" s="61"/>
      <c r="AO5" s="61"/>
      <c r="AP5" s="61"/>
      <c r="AQ5" s="61"/>
      <c r="AR5" s="61"/>
      <c r="AS5" s="61"/>
      <c r="AT5" s="61"/>
      <c r="AU5" s="61"/>
    </row>
    <row r="6" spans="1:55" x14ac:dyDescent="0.3"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117" t="s">
        <v>65</v>
      </c>
      <c r="T6" s="117"/>
      <c r="U6" s="61"/>
      <c r="V6" s="66" t="s">
        <v>46</v>
      </c>
      <c r="W6" s="67">
        <v>1</v>
      </c>
      <c r="X6" s="61"/>
      <c r="Y6" s="61"/>
      <c r="Z6" s="68" t="s">
        <v>52</v>
      </c>
      <c r="AA6" s="65">
        <v>50</v>
      </c>
      <c r="AB6" s="67" t="s">
        <v>59</v>
      </c>
      <c r="AC6" s="61"/>
      <c r="AD6" s="73" t="s">
        <v>76</v>
      </c>
      <c r="AE6" s="74">
        <v>650</v>
      </c>
      <c r="AF6" s="74"/>
      <c r="AG6" s="75" t="s">
        <v>58</v>
      </c>
      <c r="AH6" s="61"/>
      <c r="AI6" s="66" t="s">
        <v>46</v>
      </c>
      <c r="AJ6" s="67">
        <v>0.1</v>
      </c>
      <c r="AK6" s="65"/>
      <c r="AL6" s="61"/>
      <c r="AM6" s="61"/>
      <c r="AN6" s="61"/>
      <c r="AO6" s="61"/>
      <c r="AP6" s="61"/>
      <c r="AQ6" s="61"/>
      <c r="AR6" s="61"/>
      <c r="AS6" s="61"/>
      <c r="AT6" s="61"/>
      <c r="AU6" s="61"/>
    </row>
    <row r="7" spans="1:55" x14ac:dyDescent="0.3"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6" t="s">
        <v>48</v>
      </c>
      <c r="W7" s="67">
        <v>1</v>
      </c>
      <c r="X7" s="61"/>
      <c r="Y7" s="61"/>
      <c r="Z7" s="68" t="s">
        <v>51</v>
      </c>
      <c r="AA7" s="65">
        <v>30</v>
      </c>
      <c r="AB7" s="67" t="s">
        <v>59</v>
      </c>
      <c r="AC7" s="61"/>
      <c r="AD7" s="63" t="s">
        <v>89</v>
      </c>
      <c r="AE7" s="109" t="s">
        <v>57</v>
      </c>
      <c r="AF7" s="109"/>
      <c r="AG7" s="110"/>
      <c r="AH7" s="61"/>
      <c r="AI7" s="66" t="s">
        <v>48</v>
      </c>
      <c r="AJ7" s="67">
        <v>0.5</v>
      </c>
      <c r="AK7" s="65"/>
      <c r="AL7" s="61"/>
      <c r="AM7" s="61"/>
      <c r="AN7" s="61"/>
      <c r="AO7" s="61"/>
      <c r="AP7" s="61"/>
      <c r="AQ7" s="61"/>
      <c r="AR7" s="61"/>
      <c r="AS7" s="61"/>
      <c r="AT7" s="61"/>
      <c r="AU7" s="61"/>
    </row>
    <row r="8" spans="1:55" x14ac:dyDescent="0.3"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95" t="s">
        <v>71</v>
      </c>
      <c r="T8" s="95"/>
      <c r="U8" s="61"/>
      <c r="V8" s="66" t="s">
        <v>47</v>
      </c>
      <c r="W8" s="67">
        <v>1</v>
      </c>
      <c r="X8" s="61"/>
      <c r="Y8" s="61"/>
      <c r="Z8" s="68" t="s">
        <v>55</v>
      </c>
      <c r="AA8" s="65">
        <v>120</v>
      </c>
      <c r="AB8" s="67" t="s">
        <v>59</v>
      </c>
      <c r="AC8" s="61"/>
      <c r="AD8" s="66" t="s">
        <v>73</v>
      </c>
      <c r="AE8" s="65">
        <v>500</v>
      </c>
      <c r="AF8" s="65"/>
      <c r="AG8" s="69" t="s">
        <v>58</v>
      </c>
      <c r="AH8" s="61"/>
      <c r="AI8" s="66" t="s">
        <v>47</v>
      </c>
      <c r="AJ8" s="67">
        <v>0.5</v>
      </c>
      <c r="AK8" s="65"/>
      <c r="AL8" s="61"/>
      <c r="AM8" s="61"/>
      <c r="AN8" s="61"/>
      <c r="AO8" s="61"/>
      <c r="AP8" s="61"/>
      <c r="AQ8" s="61"/>
      <c r="AR8" s="61"/>
      <c r="AS8" s="61"/>
      <c r="AT8" s="61"/>
      <c r="AU8" s="61"/>
    </row>
    <row r="9" spans="1:55" x14ac:dyDescent="0.3"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76" t="s">
        <v>77</v>
      </c>
      <c r="T9" s="72">
        <v>435</v>
      </c>
      <c r="U9" s="61"/>
      <c r="V9" s="66" t="s">
        <v>49</v>
      </c>
      <c r="W9" s="67">
        <v>1</v>
      </c>
      <c r="X9" s="61"/>
      <c r="Y9" s="61"/>
      <c r="Z9" s="68" t="s">
        <v>54</v>
      </c>
      <c r="AA9" s="65">
        <v>120</v>
      </c>
      <c r="AB9" s="67" t="s">
        <v>59</v>
      </c>
      <c r="AC9" s="61"/>
      <c r="AD9" s="66" t="s">
        <v>74</v>
      </c>
      <c r="AE9" s="65">
        <v>550</v>
      </c>
      <c r="AF9" s="65"/>
      <c r="AG9" s="69" t="s">
        <v>58</v>
      </c>
      <c r="AH9" s="61"/>
      <c r="AI9" s="66" t="s">
        <v>49</v>
      </c>
      <c r="AJ9" s="67">
        <v>1</v>
      </c>
      <c r="AK9" s="65"/>
      <c r="AL9" s="61"/>
      <c r="AM9" s="61"/>
      <c r="AN9" s="61"/>
      <c r="AO9" s="61"/>
      <c r="AP9" s="61"/>
      <c r="AQ9" s="61"/>
      <c r="AR9" s="61"/>
      <c r="AS9" s="61"/>
      <c r="AT9" s="61"/>
      <c r="AU9" s="61"/>
    </row>
    <row r="10" spans="1:55" x14ac:dyDescent="0.3">
      <c r="D10" s="61"/>
      <c r="E10" s="61"/>
      <c r="F10" s="61"/>
      <c r="G10" s="61"/>
      <c r="H10" s="92" t="s">
        <v>10</v>
      </c>
      <c r="I10" s="94"/>
      <c r="J10" s="61"/>
      <c r="K10" s="61"/>
      <c r="L10" s="61"/>
      <c r="M10" s="61"/>
      <c r="N10" s="61"/>
      <c r="O10" s="61"/>
      <c r="P10" s="61"/>
      <c r="Q10" s="61"/>
      <c r="R10" s="61"/>
      <c r="S10" s="95" t="s">
        <v>72</v>
      </c>
      <c r="T10" s="95"/>
      <c r="U10" s="61"/>
      <c r="V10" s="73" t="s">
        <v>50</v>
      </c>
      <c r="W10" s="77">
        <v>1</v>
      </c>
      <c r="X10" s="61"/>
      <c r="Y10" s="61"/>
      <c r="Z10" s="68" t="s">
        <v>25</v>
      </c>
      <c r="AA10" s="65">
        <v>6</v>
      </c>
      <c r="AB10" s="67" t="s">
        <v>59</v>
      </c>
      <c r="AC10" s="61"/>
      <c r="AD10" s="66" t="s">
        <v>75</v>
      </c>
      <c r="AE10" s="65">
        <v>600</v>
      </c>
      <c r="AF10" s="65"/>
      <c r="AG10" s="69" t="s">
        <v>58</v>
      </c>
      <c r="AH10" s="61"/>
      <c r="AI10" s="73" t="s">
        <v>50</v>
      </c>
      <c r="AJ10" s="77">
        <v>1</v>
      </c>
      <c r="AK10" s="65"/>
      <c r="AL10" s="61"/>
      <c r="AM10" s="61"/>
      <c r="AN10" s="61"/>
      <c r="AO10" s="61"/>
      <c r="AR10" s="61"/>
      <c r="AS10" s="61"/>
      <c r="AT10" s="61"/>
      <c r="AU10" s="61"/>
      <c r="AV10" s="92" t="s">
        <v>10</v>
      </c>
      <c r="AW10" s="94"/>
      <c r="AX10" s="61"/>
      <c r="AY10" s="61"/>
      <c r="AZ10" s="61"/>
      <c r="BA10" s="61"/>
      <c r="BB10" s="61"/>
      <c r="BC10" s="61"/>
    </row>
    <row r="11" spans="1:55" x14ac:dyDescent="0.3">
      <c r="D11" s="61"/>
      <c r="E11" s="61"/>
      <c r="F11" s="61"/>
      <c r="G11" s="61"/>
      <c r="H11" s="66" t="s">
        <v>11</v>
      </c>
      <c r="I11" s="67" t="s">
        <v>13</v>
      </c>
      <c r="J11" s="61"/>
      <c r="K11" s="61"/>
      <c r="L11" s="61"/>
      <c r="M11" s="61"/>
      <c r="N11" s="61"/>
      <c r="O11" s="61"/>
      <c r="P11" s="61"/>
      <c r="Q11" s="61"/>
      <c r="R11" s="61"/>
      <c r="S11" s="76" t="s">
        <v>77</v>
      </c>
      <c r="T11" s="72">
        <v>235</v>
      </c>
      <c r="U11" s="61"/>
      <c r="V11" s="95" t="s">
        <v>87</v>
      </c>
      <c r="W11" s="95"/>
      <c r="X11" s="61"/>
      <c r="Y11" s="61"/>
      <c r="Z11" s="78" t="s">
        <v>26</v>
      </c>
      <c r="AA11" s="74">
        <v>6</v>
      </c>
      <c r="AB11" s="77" t="s">
        <v>59</v>
      </c>
      <c r="AC11" s="61"/>
      <c r="AD11" s="73" t="s">
        <v>76</v>
      </c>
      <c r="AE11" s="74">
        <v>650</v>
      </c>
      <c r="AF11" s="74"/>
      <c r="AG11" s="75" t="s">
        <v>58</v>
      </c>
      <c r="AH11" s="61"/>
      <c r="AI11" s="61"/>
      <c r="AJ11" s="61"/>
      <c r="AK11" s="61"/>
      <c r="AL11" s="61"/>
      <c r="AM11" s="61"/>
      <c r="AN11" s="61"/>
      <c r="AO11" s="61"/>
      <c r="AR11" s="61"/>
      <c r="AS11" s="61"/>
      <c r="AT11" s="61"/>
      <c r="AU11" s="61"/>
      <c r="AV11" s="66" t="s">
        <v>11</v>
      </c>
      <c r="AW11" s="67" t="s">
        <v>13</v>
      </c>
      <c r="AX11" s="61"/>
      <c r="AY11" s="61"/>
      <c r="AZ11" s="61"/>
      <c r="BA11" s="61"/>
      <c r="BB11" s="61"/>
      <c r="BC11" s="61"/>
    </row>
    <row r="12" spans="1:55" x14ac:dyDescent="0.3">
      <c r="D12" s="61"/>
      <c r="E12" s="61"/>
      <c r="F12" s="61"/>
      <c r="G12" s="61"/>
      <c r="H12" s="73" t="s">
        <v>12</v>
      </c>
      <c r="I12" s="77" t="s">
        <v>13</v>
      </c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95" t="s">
        <v>13</v>
      </c>
      <c r="W12" s="95"/>
      <c r="X12" s="61"/>
      <c r="Y12" s="61"/>
      <c r="Z12" s="61"/>
      <c r="AA12" s="61"/>
      <c r="AB12" s="65"/>
      <c r="AC12" s="65"/>
      <c r="AD12" s="61"/>
      <c r="AE12" s="61"/>
      <c r="AF12" s="61"/>
      <c r="AG12" s="61"/>
      <c r="AH12" s="61"/>
      <c r="AI12" s="39"/>
      <c r="AJ12" s="65"/>
      <c r="AK12" s="65"/>
      <c r="AL12" s="39"/>
      <c r="AM12" s="61"/>
      <c r="AN12" s="61"/>
      <c r="AO12" s="61"/>
      <c r="AR12" s="61"/>
      <c r="AS12" s="61"/>
      <c r="AT12" s="61"/>
      <c r="AU12" s="61"/>
      <c r="AV12" s="73" t="s">
        <v>12</v>
      </c>
      <c r="AW12" s="77" t="s">
        <v>13</v>
      </c>
      <c r="AX12" s="61"/>
      <c r="AY12" s="61"/>
      <c r="AZ12" s="61"/>
      <c r="BA12" s="61"/>
      <c r="BB12" s="61"/>
      <c r="BC12" s="61"/>
    </row>
    <row r="13" spans="1:55" x14ac:dyDescent="0.3"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5"/>
      <c r="W13" s="65"/>
      <c r="X13" s="61"/>
      <c r="Y13" s="61"/>
      <c r="Z13" s="61"/>
      <c r="AA13" s="61"/>
      <c r="AB13" s="65"/>
      <c r="AC13" s="65"/>
      <c r="AD13" s="61"/>
      <c r="AE13" s="61"/>
      <c r="AF13" s="61"/>
      <c r="AG13" s="61"/>
      <c r="AH13" s="61"/>
      <c r="AI13" s="39"/>
      <c r="AJ13" s="65"/>
      <c r="AK13" s="65"/>
      <c r="AL13" s="39"/>
      <c r="AM13" s="61"/>
      <c r="AN13" s="61"/>
      <c r="AO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</row>
    <row r="14" spans="1:55" x14ac:dyDescent="0.3"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2" t="s">
        <v>83</v>
      </c>
      <c r="T14" s="105" t="s">
        <v>86</v>
      </c>
      <c r="U14" s="128"/>
      <c r="V14" s="128"/>
      <c r="W14" s="106"/>
      <c r="Y14" s="61"/>
      <c r="Z14" s="62" t="s">
        <v>85</v>
      </c>
      <c r="AA14" s="95" t="s">
        <v>2</v>
      </c>
      <c r="AB14" s="95"/>
      <c r="AC14" s="95" t="s">
        <v>84</v>
      </c>
      <c r="AD14" s="95"/>
      <c r="AE14" s="95">
        <v>44</v>
      </c>
      <c r="AF14" s="95"/>
      <c r="AG14" s="95"/>
      <c r="AH14" s="61"/>
      <c r="AI14" s="61"/>
      <c r="AJ14" s="61"/>
      <c r="AK14" s="65"/>
      <c r="AL14" s="39"/>
      <c r="AM14" s="61"/>
      <c r="AN14" s="61"/>
      <c r="AO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</row>
    <row r="15" spans="1:55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9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</row>
    <row r="16" spans="1:55" ht="15" customHeight="1" x14ac:dyDescent="0.3">
      <c r="U16" s="4"/>
      <c r="Z16" s="126" t="s">
        <v>1</v>
      </c>
      <c r="AA16" s="126"/>
      <c r="AB16" s="126" t="s">
        <v>2</v>
      </c>
      <c r="AC16" s="126"/>
    </row>
    <row r="17" spans="2:55" ht="14.4" customHeight="1" x14ac:dyDescent="0.3">
      <c r="U17" s="4"/>
      <c r="Z17" s="126"/>
      <c r="AA17" s="126"/>
      <c r="AB17" s="126"/>
      <c r="AC17" s="126"/>
      <c r="AF17" s="3" t="s">
        <v>7</v>
      </c>
      <c r="AG17" s="103" t="s">
        <v>6</v>
      </c>
      <c r="AH17" s="103"/>
    </row>
    <row r="18" spans="2:55" ht="14.4" customHeight="1" x14ac:dyDescent="0.3">
      <c r="B18" s="1"/>
      <c r="C18" s="20"/>
      <c r="D18" s="1"/>
      <c r="E18" s="1"/>
      <c r="F18" s="1"/>
      <c r="G18" s="1"/>
      <c r="H18" s="1"/>
      <c r="I18" s="1"/>
      <c r="J18" s="1"/>
      <c r="K18" s="1"/>
      <c r="L18" s="1"/>
      <c r="M18" s="1"/>
      <c r="N18" s="21"/>
      <c r="O18" s="1"/>
      <c r="Z18" s="126"/>
      <c r="AA18" s="126"/>
      <c r="AB18" s="126"/>
      <c r="AC18" s="126"/>
      <c r="AP18" s="1"/>
      <c r="AQ18" s="20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21"/>
      <c r="BC18" s="1"/>
    </row>
    <row r="19" spans="2:55" x14ac:dyDescent="0.3">
      <c r="C19" s="22"/>
      <c r="H19" t="s">
        <v>36</v>
      </c>
      <c r="I19" s="3" t="s">
        <v>37</v>
      </c>
      <c r="J19" s="3"/>
      <c r="K19" s="3"/>
      <c r="L19" s="3"/>
      <c r="M19" s="3"/>
      <c r="N19" s="23"/>
      <c r="AQ19" s="22"/>
      <c r="AV19" t="s">
        <v>36</v>
      </c>
      <c r="AW19" s="3" t="s">
        <v>37</v>
      </c>
      <c r="AX19" s="3"/>
      <c r="AY19" s="3"/>
      <c r="AZ19" s="3"/>
      <c r="BA19" s="3"/>
      <c r="BB19" s="23"/>
    </row>
    <row r="20" spans="2:55" ht="14.4" customHeight="1" x14ac:dyDescent="0.3">
      <c r="C20" s="22"/>
      <c r="N20" s="23"/>
      <c r="S20" s="32" t="s">
        <v>80</v>
      </c>
      <c r="T20" s="96">
        <v>10000</v>
      </c>
      <c r="U20" s="96"/>
      <c r="V20" s="39" t="s">
        <v>33</v>
      </c>
      <c r="W20" s="50">
        <f>(U24+U22)/T20</f>
        <v>0.77858401317539527</v>
      </c>
      <c r="X20" s="50">
        <f>(U24+U23+U22)/T20</f>
        <v>0.8571238295151401</v>
      </c>
      <c r="Y20" s="8"/>
      <c r="Z20" s="32" t="s">
        <v>80</v>
      </c>
      <c r="AA20" s="96">
        <v>8000</v>
      </c>
      <c r="AB20" s="96"/>
      <c r="AC20" s="39" t="s">
        <v>33</v>
      </c>
      <c r="AD20" s="50">
        <f>(AB24+AB22)/AA20</f>
        <v>0.5098451000647497</v>
      </c>
      <c r="AE20" s="51"/>
      <c r="AF20" s="8"/>
      <c r="AG20" s="32" t="s">
        <v>80</v>
      </c>
      <c r="AH20" s="96">
        <v>8000</v>
      </c>
      <c r="AI20" s="96"/>
      <c r="AJ20" s="39" t="s">
        <v>33</v>
      </c>
      <c r="AK20" s="50">
        <f>(AI24+AI22)/AH20</f>
        <v>0.97323001646924412</v>
      </c>
      <c r="AL20" s="50">
        <f>(AI24+AI23+AI22)/AH20</f>
        <v>1.0714047868939252</v>
      </c>
      <c r="AQ20" s="22"/>
      <c r="BB20" s="23"/>
    </row>
    <row r="21" spans="2:55" ht="15" thickBot="1" x14ac:dyDescent="0.35">
      <c r="C21" s="24" t="s">
        <v>31</v>
      </c>
      <c r="D21" s="25"/>
      <c r="E21" s="25"/>
      <c r="F21" s="25"/>
      <c r="G21" s="25"/>
      <c r="H21" s="127">
        <v>500</v>
      </c>
      <c r="I21" s="127"/>
      <c r="J21" s="26"/>
      <c r="K21" s="26"/>
      <c r="L21" s="26"/>
      <c r="M21" s="143" t="s">
        <v>32</v>
      </c>
      <c r="N21" s="144"/>
      <c r="O21" s="9"/>
      <c r="P21" s="9"/>
      <c r="R21" s="9"/>
      <c r="S21" s="32" t="s">
        <v>81</v>
      </c>
      <c r="T21" s="96">
        <v>20000</v>
      </c>
      <c r="U21" s="96"/>
      <c r="V21" s="39" t="s">
        <v>33</v>
      </c>
      <c r="W21" s="50">
        <f>(U24+U22)/T21</f>
        <v>0.38929200658769764</v>
      </c>
      <c r="X21" s="83">
        <f>(U24+U23+U22)/T21</f>
        <v>0.42856191475757005</v>
      </c>
      <c r="Y21" s="8"/>
      <c r="Z21" s="32" t="s">
        <v>81</v>
      </c>
      <c r="AA21" s="96">
        <v>2000</v>
      </c>
      <c r="AB21" s="96"/>
      <c r="AC21" s="39" t="s">
        <v>33</v>
      </c>
      <c r="AD21" s="50">
        <f>(AB24+AB22)/AA21</f>
        <v>2.0393804002589988</v>
      </c>
      <c r="AE21" s="51"/>
      <c r="AF21" s="8"/>
      <c r="AG21" s="32" t="s">
        <v>81</v>
      </c>
      <c r="AH21" s="96">
        <v>2000</v>
      </c>
      <c r="AI21" s="96"/>
      <c r="AJ21" s="39" t="s">
        <v>33</v>
      </c>
      <c r="AK21" s="50">
        <f>(AI24+AI22)/AH21</f>
        <v>3.8929200658769765</v>
      </c>
      <c r="AL21" s="83">
        <f>(AI24+AI23+AI22)/AH21</f>
        <v>4.2856191475757006</v>
      </c>
      <c r="AQ21" s="24" t="s">
        <v>31</v>
      </c>
      <c r="AR21" s="25"/>
      <c r="AS21" s="25"/>
      <c r="AT21" s="25"/>
      <c r="AU21" s="25"/>
      <c r="AV21" s="127">
        <v>500</v>
      </c>
      <c r="AW21" s="127"/>
      <c r="AX21" s="26"/>
      <c r="AY21" s="26"/>
      <c r="AZ21" s="26"/>
      <c r="BA21" s="143" t="s">
        <v>32</v>
      </c>
      <c r="BB21" s="144"/>
      <c r="BC21" s="9"/>
    </row>
    <row r="22" spans="2:55" ht="30" customHeight="1" x14ac:dyDescent="0.3">
      <c r="H22" s="103"/>
      <c r="I22" s="103"/>
      <c r="J22" s="3"/>
      <c r="K22" s="3"/>
      <c r="L22" s="3"/>
      <c r="M22" s="3"/>
      <c r="S22" s="33" t="s">
        <v>17</v>
      </c>
      <c r="T22" s="12" t="s">
        <v>30</v>
      </c>
      <c r="U22" s="13" cm="1">
        <f t="array" ref="U22">SUM(
  _xlfn.MAP(
    _xlfn.TEXTSPLIT(T22,"+"),
    _xlfn.LAMBDA(_xlpm.x,
      LEFT(_xlpm.x,FIND("fi",_xlpm.x)-1) * (PI() * (VALUE(MID(_xlpm.x,FIND("fi",_xlpm.x)+2,LEN(_xlpm.x)))^2) / 4)
    )
  )
)</f>
        <v>6785.8401317539528</v>
      </c>
      <c r="V22" s="40" t="s">
        <v>33</v>
      </c>
      <c r="W22" s="50"/>
      <c r="X22" s="51"/>
      <c r="Z22" s="33" t="s">
        <v>17</v>
      </c>
      <c r="AA22" s="12" t="s">
        <v>27</v>
      </c>
      <c r="AB22" s="13" cm="1">
        <f t="array" ref="AB22">SUM(
  _xlfn.MAP(
    _xlfn.TEXTSPLIT(AA22,"+"),
    _xlfn.LAMBDA(_xlpm.x,
      LEFT(_xlpm.x,FIND("fi",_xlpm.x)-1) * (PI() * (VALUE(MID(_xlpm.x,FIND("fi",_xlpm.x)+2,LEN(_xlpm.x)))^2) / 4)
    )
  )
)</f>
        <v>3078.7608005179973</v>
      </c>
      <c r="AC22" s="39" t="s">
        <v>33</v>
      </c>
      <c r="AD22" s="50"/>
      <c r="AE22" s="51"/>
      <c r="AG22" s="33" t="s">
        <v>17</v>
      </c>
      <c r="AH22" s="12" t="s">
        <v>30</v>
      </c>
      <c r="AI22" s="13" cm="1">
        <f t="array" ref="AI22">SUM(
  _xlfn.MAP(
    _xlfn.TEXTSPLIT(AH22,"+"),
    _xlfn.LAMBDA(_xlpm.x,
      LEFT(_xlpm.x,FIND("fi",_xlpm.x)-1) * (PI() * (VALUE(MID(_xlpm.x,FIND("fi",_xlpm.x)+2,LEN(_xlpm.x)))^2) / 4)
    )
  )
)</f>
        <v>6785.8401317539528</v>
      </c>
      <c r="AJ22" s="40" t="s">
        <v>33</v>
      </c>
      <c r="AK22" s="50"/>
      <c r="AL22" s="51"/>
      <c r="AV22" s="103"/>
      <c r="AW22" s="103"/>
      <c r="AX22" s="3"/>
      <c r="AY22" s="3"/>
      <c r="AZ22" s="3"/>
      <c r="BA22" s="3"/>
    </row>
    <row r="23" spans="2:55" ht="14.4" customHeight="1" x14ac:dyDescent="0.3">
      <c r="S23" s="33" t="s">
        <v>28</v>
      </c>
      <c r="T23" s="14" t="s">
        <v>29</v>
      </c>
      <c r="U23" s="15" cm="1">
        <f t="array" ref="U23">IF(T23=0,0,
SUM(
  _xlfn.MAP(
    _xlfn.TEXTSPLIT(T23,"+"),
    _xlfn.LAMBDA(_xlpm.x,
      LEFT(_xlpm.x,FIND("fi",_xlpm.x)-1) * (PI() * (VALUE(MID(_xlpm.x,FIND("fi",_xlpm.x)+2,LEN(_xlpm.x)))^2) / 4)
    )
  )
)
)</f>
        <v>785.39816339744834</v>
      </c>
      <c r="V23" s="39" t="s">
        <v>33</v>
      </c>
      <c r="W23" s="50"/>
      <c r="X23" s="51"/>
      <c r="AD23" s="51"/>
      <c r="AE23" s="51"/>
      <c r="AG23" s="33" t="s">
        <v>28</v>
      </c>
      <c r="AH23" s="14" t="s">
        <v>29</v>
      </c>
      <c r="AI23" s="15" cm="1">
        <f t="array" ref="AI23">IF(AH23=0,0,
SUM(
  _xlfn.MAP(
    _xlfn.TEXTSPLIT(AH23,"+"),
    _xlfn.LAMBDA(_xlpm.x,
      LEFT(_xlpm.x,FIND("fi",_xlpm.x)-1) * (PI() * (VALUE(MID(_xlpm.x,FIND("fi",_xlpm.x)+2,LEN(_xlpm.x)))^2) / 4)
    )
  )
)
)</f>
        <v>785.39816339744834</v>
      </c>
      <c r="AJ23" s="39" t="s">
        <v>33</v>
      </c>
      <c r="AK23" s="50"/>
      <c r="AL23" s="51"/>
    </row>
    <row r="24" spans="2:55" ht="14.4" customHeight="1" thickBot="1" x14ac:dyDescent="0.35">
      <c r="S24" s="33" t="s">
        <v>67</v>
      </c>
      <c r="T24" s="43" t="s">
        <v>82</v>
      </c>
      <c r="U24" s="15" cm="1">
        <f t="array" ref="U24">IF(T24=0,0,
    IF(ISNUMBER(SEARCH("fi",T24)),
    SUM(
      _xlfn.MAP(_xlfn.TEXTSPLIT(T24,"+"),
        _xlfn.LAMBDA(_xlpm.x,
          LEFT(_xlpm.x,FIND("fi",_xlpm.x)-1) *
          (PI() * (VALUE(MID(_xlpm.x,FIND("fi",_xlpm.x)+2,LEN(_xlpm.x)))^2) / 4)
        )
      )
    ),
    IF(ISNUMBER(SEARCH("PL",T24)),
        LEFT(T24,FIND("PL",T24)-1) *
        VALUE(MID(T24,FIND("PL",T24)+2,FIND("*",T24)-FIND("PL",T24)-2)) *
        VALUE(MID(T24,FIND("*",T24)+1,LEN(T24))),
        IF(ISNUMBER(SEARCH("L",T24)),
            LEFT(T24,FIND("L",T24)-1) *
            (2*VALUE(MID(T24,FIND("L",T24)+1,FIND("*",T24)-FIND("L",T24)-1)) *
             VALUE(MID(T24,FIND("*",T24)+1,LEN(T24))) -
             VALUE(MID(T24,FIND("*",T24)+1,LEN(T24)))^2),
        "INVALID INPUT")
    )
)
)</f>
        <v>1000</v>
      </c>
      <c r="V24" s="39" t="s">
        <v>33</v>
      </c>
      <c r="W24" s="51"/>
      <c r="X24" s="51"/>
      <c r="Z24" s="33" t="s">
        <v>67</v>
      </c>
      <c r="AA24" s="43" t="s">
        <v>82</v>
      </c>
      <c r="AB24" s="15" cm="1">
        <f t="array" ref="AB24">IF(AA24=0,0,
    IF(ISNUMBER(SEARCH("fi",AA24)),
    SUM(
      _xlfn.MAP(_xlfn.TEXTSPLIT(AA24,"+"),
        _xlfn.LAMBDA(_xlpm.x,
          LEFT(_xlpm.x,FIND("fi",_xlpm.x)-1) *
          (PI() * (VALUE(MID(_xlpm.x,FIND("fi",_xlpm.x)+2,LEN(_xlpm.x)))^2) / 4)
        )
      )
    ),
    IF(ISNUMBER(SEARCH("PL",AA24)),
        LEFT(AA24,FIND("PL",AA24)-1) *
        VALUE(MID(AA24,FIND("PL",AA24)+2,FIND("*",AA24)-FIND("PL",AA24)-2)) *
        VALUE(MID(AA24,FIND("*",AA24)+1,LEN(AA24))),
        IF(ISNUMBER(SEARCH("L",AA24)),
            LEFT(AA24,FIND("L",AA24)-1) *
            (2*VALUE(MID(AA24,FIND("L",AA24)+1,FIND("*",AA24)-FIND("L",AA24)-1)) *
             VALUE(MID(AA24,FIND("*",AA24)+1,LEN(AA24))) -
             VALUE(MID(AA24,FIND("*",AA24)+1,LEN(AA24)))^2),
        "INVALID INPUT")
    )
)
)</f>
        <v>1000</v>
      </c>
      <c r="AC24" s="39" t="s">
        <v>33</v>
      </c>
      <c r="AD24" s="50"/>
      <c r="AE24" s="51"/>
      <c r="AG24" s="33" t="s">
        <v>67</v>
      </c>
      <c r="AH24" s="43" t="s">
        <v>82</v>
      </c>
      <c r="AI24" s="15" cm="1">
        <f t="array" ref="AI24">IF(AH24=0,0,
    IF(ISNUMBER(SEARCH("fi",AH24)),
    SUM(
      _xlfn.MAP(_xlfn.TEXTSPLIT(AH24,"+"),
        _xlfn.LAMBDA(_xlpm.x,
          LEFT(_xlpm.x,FIND("fi",_xlpm.x)-1) *
          (PI() * (VALUE(MID(_xlpm.x,FIND("fi",_xlpm.x)+2,LEN(_xlpm.x)))^2) / 4)
        )
      )
    ),
    IF(ISNUMBER(SEARCH("PL",AH24)),
        LEFT(AH24,FIND("PL",AH24)-1) *
        VALUE(MID(AH24,FIND("PL",AH24)+2,FIND("*",AH24)-FIND("PL",AH24)-2)) *
        VALUE(MID(AH24,FIND("*",AH24)+1,LEN(AH24))),
        IF(ISNUMBER(SEARCH("L",AH24)),
            LEFT(AH24,FIND("L",AH24)-1) *
            (2*VALUE(MID(AH24,FIND("L",AH24)+1,FIND("*",AH24)-FIND("L",AH24)-1)) *
             VALUE(MID(AH24,FIND("*",AH24)+1,LEN(AH24))) -
             VALUE(MID(AH24,FIND("*",AH24)+1,LEN(AH24)))^2),
        "INVALID INPUT")
    )
)
)</f>
        <v>1000</v>
      </c>
      <c r="AJ24" s="39" t="s">
        <v>33</v>
      </c>
      <c r="AK24" s="51"/>
      <c r="AL24" s="51"/>
    </row>
    <row r="25" spans="2:55" ht="14.4" customHeight="1" x14ac:dyDescent="0.3">
      <c r="C25" s="107" t="s">
        <v>39</v>
      </c>
      <c r="D25" s="108"/>
      <c r="E25" s="108"/>
      <c r="F25" s="108"/>
      <c r="G25" s="108"/>
      <c r="H25" s="131" t="str">
        <f>IF(OR(MAX(P28,Q28)&gt;(H21+H38),MAX(P28,Q28)=(H21+H38)),"&gt;","&lt;")</f>
        <v>&lt;</v>
      </c>
      <c r="I25" s="131"/>
      <c r="J25" s="129" t="s">
        <v>40</v>
      </c>
      <c r="K25" s="129"/>
      <c r="L25" s="129"/>
      <c r="M25" s="129"/>
      <c r="N25" s="130"/>
      <c r="P25" s="119" t="s">
        <v>32</v>
      </c>
      <c r="Q25" s="119"/>
      <c r="S25" s="34" t="s">
        <v>78</v>
      </c>
      <c r="T25" s="101">
        <v>500</v>
      </c>
      <c r="U25" s="101"/>
      <c r="V25" s="41" t="s">
        <v>32</v>
      </c>
      <c r="W25" s="52"/>
      <c r="X25" s="53"/>
      <c r="Y25" s="6"/>
      <c r="Z25" s="44" t="s">
        <v>78</v>
      </c>
      <c r="AA25" s="101">
        <v>500</v>
      </c>
      <c r="AB25" s="101"/>
      <c r="AC25" s="41" t="s">
        <v>32</v>
      </c>
      <c r="AD25" s="52"/>
      <c r="AE25" s="53"/>
      <c r="AF25" s="6"/>
      <c r="AG25" s="44" t="s">
        <v>78</v>
      </c>
      <c r="AH25" s="101">
        <v>500</v>
      </c>
      <c r="AI25" s="101"/>
      <c r="AJ25" s="41" t="s">
        <v>32</v>
      </c>
      <c r="AK25" s="52"/>
      <c r="AL25" s="58"/>
      <c r="AN25" s="119" t="s">
        <v>32</v>
      </c>
      <c r="AO25" s="119"/>
      <c r="AQ25" s="107" t="s">
        <v>39</v>
      </c>
      <c r="AR25" s="108"/>
      <c r="AS25" s="108"/>
      <c r="AT25" s="108"/>
      <c r="AU25" s="108"/>
      <c r="AV25" s="131" t="str">
        <f>IF(OR(MAX(BD28,BE28)&gt;(AV21+AV38),MAX(BD28,BE28)=(AV21+AV38)),"&gt;","&lt;")</f>
        <v>&lt;</v>
      </c>
      <c r="AW25" s="131"/>
      <c r="AX25" s="129" t="s">
        <v>40</v>
      </c>
      <c r="AY25" s="129"/>
      <c r="AZ25" s="129"/>
      <c r="BA25" s="129"/>
      <c r="BB25" s="130"/>
    </row>
    <row r="26" spans="2:55" ht="14.4" customHeight="1" x14ac:dyDescent="0.3">
      <c r="C26" s="18"/>
      <c r="D26" s="84"/>
      <c r="E26" s="84"/>
      <c r="F26" s="84"/>
      <c r="G26" s="84"/>
      <c r="H26" s="132">
        <f>(H38+H21)/MAX(P28,Q28)/IF(S3="DCH",1.3,IF(S3="DCM", 1.2,1))</f>
        <v>2.2000000000000002</v>
      </c>
      <c r="I26" s="132"/>
      <c r="J26" s="84"/>
      <c r="K26" s="84"/>
      <c r="L26" s="84"/>
      <c r="M26" s="84"/>
      <c r="N26" s="19"/>
      <c r="P26" s="119"/>
      <c r="Q26" s="119"/>
      <c r="S26" s="35" t="s">
        <v>79</v>
      </c>
      <c r="T26" s="96">
        <v>500</v>
      </c>
      <c r="U26" s="96"/>
      <c r="V26" s="39" t="s">
        <v>32</v>
      </c>
      <c r="W26" s="54"/>
      <c r="X26" s="51"/>
      <c r="Z26" s="32" t="s">
        <v>79</v>
      </c>
      <c r="AA26" s="96">
        <v>500</v>
      </c>
      <c r="AB26" s="96"/>
      <c r="AC26" s="39" t="s">
        <v>32</v>
      </c>
      <c r="AD26" s="54"/>
      <c r="AE26" s="51"/>
      <c r="AG26" s="32" t="s">
        <v>79</v>
      </c>
      <c r="AH26" s="96">
        <v>500</v>
      </c>
      <c r="AI26" s="96"/>
      <c r="AJ26" s="39" t="s">
        <v>32</v>
      </c>
      <c r="AK26" s="54"/>
      <c r="AL26" s="59"/>
      <c r="AN26" s="119"/>
      <c r="AO26" s="119"/>
      <c r="AQ26" s="18"/>
      <c r="AR26" s="84"/>
      <c r="AS26" s="84"/>
      <c r="AT26" s="84"/>
      <c r="AU26" s="84"/>
      <c r="AV26" s="132">
        <f>(AV38+AV21)/MAX(AN28+BE28,AO28+BD28)/IF(S3="DCH",1.3,IF(S3="DCM", 1.2,1))</f>
        <v>2.2000000000000002</v>
      </c>
      <c r="AW26" s="132"/>
      <c r="AX26" s="84"/>
      <c r="AY26" s="84"/>
      <c r="AZ26" s="84"/>
      <c r="BA26" s="84"/>
      <c r="BB26" s="19"/>
    </row>
    <row r="27" spans="2:55" x14ac:dyDescent="0.3">
      <c r="C27" s="123" t="s">
        <v>94</v>
      </c>
      <c r="D27" s="124"/>
      <c r="E27" s="118">
        <v>2E-3</v>
      </c>
      <c r="F27" s="118"/>
      <c r="G27" s="86" t="s">
        <v>91</v>
      </c>
      <c r="H27" s="135">
        <f>E28/E27</f>
        <v>1.25</v>
      </c>
      <c r="I27" s="124" t="s">
        <v>94</v>
      </c>
      <c r="J27" s="124"/>
      <c r="K27" s="118">
        <v>3.0000000000000001E-3</v>
      </c>
      <c r="L27" s="118"/>
      <c r="M27" s="86" t="s">
        <v>91</v>
      </c>
      <c r="N27" s="133">
        <f>K28/K27</f>
        <v>0.83333333333333337</v>
      </c>
      <c r="P27" s="119"/>
      <c r="Q27" s="119"/>
      <c r="R27" s="103"/>
      <c r="S27" s="35" t="s">
        <v>21</v>
      </c>
      <c r="T27" s="96">
        <v>200</v>
      </c>
      <c r="U27" s="96"/>
      <c r="V27" s="39" t="s">
        <v>35</v>
      </c>
      <c r="W27" s="54"/>
      <c r="X27" s="51"/>
      <c r="Z27" s="32" t="s">
        <v>21</v>
      </c>
      <c r="AA27" s="96">
        <v>200</v>
      </c>
      <c r="AB27" s="96"/>
      <c r="AC27" s="39" t="s">
        <v>35</v>
      </c>
      <c r="AD27" s="54"/>
      <c r="AE27" s="51"/>
      <c r="AG27" s="32" t="s">
        <v>21</v>
      </c>
      <c r="AH27" s="96">
        <v>200</v>
      </c>
      <c r="AI27" s="96"/>
      <c r="AJ27" s="39" t="s">
        <v>35</v>
      </c>
      <c r="AK27" s="54"/>
      <c r="AL27" s="59"/>
      <c r="AM27" s="103"/>
      <c r="AN27" s="119"/>
      <c r="AO27" s="119"/>
      <c r="AQ27" s="123" t="s">
        <v>94</v>
      </c>
      <c r="AR27" s="124"/>
      <c r="AS27" s="118">
        <v>2E-3</v>
      </c>
      <c r="AT27" s="118"/>
      <c r="AU27" s="86" t="s">
        <v>91</v>
      </c>
      <c r="AV27" s="135">
        <f>AS28/AS27</f>
        <v>1.25</v>
      </c>
      <c r="AW27" s="124" t="s">
        <v>94</v>
      </c>
      <c r="AX27" s="124"/>
      <c r="AY27" s="118">
        <v>3.0000000000000001E-3</v>
      </c>
      <c r="AZ27" s="118"/>
      <c r="BA27" s="86" t="s">
        <v>91</v>
      </c>
      <c r="BB27" s="133">
        <f>AY28/AY27</f>
        <v>0.83333333333333337</v>
      </c>
    </row>
    <row r="28" spans="2:55" ht="14.4" customHeight="1" x14ac:dyDescent="0.3">
      <c r="C28" s="123" t="s">
        <v>95</v>
      </c>
      <c r="D28" s="124"/>
      <c r="E28" s="118">
        <v>2.5000000000000001E-3</v>
      </c>
      <c r="F28" s="118"/>
      <c r="G28" s="86" t="s">
        <v>91</v>
      </c>
      <c r="H28" s="135"/>
      <c r="I28" s="124" t="s">
        <v>95</v>
      </c>
      <c r="J28" s="124"/>
      <c r="K28" s="118">
        <v>2.5000000000000001E-3</v>
      </c>
      <c r="L28" s="118"/>
      <c r="M28" s="86" t="s">
        <v>91</v>
      </c>
      <c r="N28" s="133"/>
      <c r="P28" s="104">
        <v>200</v>
      </c>
      <c r="Q28" s="104">
        <v>250</v>
      </c>
      <c r="R28" s="103"/>
      <c r="S28" s="35" t="s">
        <v>22</v>
      </c>
      <c r="T28" s="96">
        <v>200</v>
      </c>
      <c r="U28" s="96"/>
      <c r="V28" s="39" t="s">
        <v>35</v>
      </c>
      <c r="W28" s="54"/>
      <c r="X28" s="51"/>
      <c r="Z28" s="32" t="s">
        <v>22</v>
      </c>
      <c r="AA28" s="96">
        <v>200</v>
      </c>
      <c r="AB28" s="96"/>
      <c r="AC28" s="39" t="s">
        <v>35</v>
      </c>
      <c r="AD28" s="54"/>
      <c r="AE28" s="51"/>
      <c r="AG28" s="32" t="s">
        <v>22</v>
      </c>
      <c r="AH28" s="96">
        <v>200</v>
      </c>
      <c r="AI28" s="96"/>
      <c r="AJ28" s="39" t="s">
        <v>35</v>
      </c>
      <c r="AK28" s="54"/>
      <c r="AL28" s="59"/>
      <c r="AM28" s="103"/>
      <c r="AN28" s="104">
        <v>200</v>
      </c>
      <c r="AO28" s="104">
        <v>250</v>
      </c>
      <c r="AQ28" s="123" t="s">
        <v>95</v>
      </c>
      <c r="AR28" s="124"/>
      <c r="AS28" s="118">
        <v>2.5000000000000001E-3</v>
      </c>
      <c r="AT28" s="118"/>
      <c r="AU28" s="86" t="s">
        <v>91</v>
      </c>
      <c r="AV28" s="135"/>
      <c r="AW28" s="124" t="s">
        <v>95</v>
      </c>
      <c r="AX28" s="124"/>
      <c r="AY28" s="118">
        <v>2.5000000000000001E-3</v>
      </c>
      <c r="AZ28" s="118"/>
      <c r="BA28" s="86" t="s">
        <v>91</v>
      </c>
      <c r="BB28" s="133"/>
    </row>
    <row r="29" spans="2:55" ht="30" customHeight="1" x14ac:dyDescent="0.3">
      <c r="C29" s="89"/>
      <c r="D29" s="87"/>
      <c r="E29" s="84"/>
      <c r="F29" s="84"/>
      <c r="G29" s="87"/>
      <c r="H29" s="139" t="s">
        <v>42</v>
      </c>
      <c r="I29" s="139">
        <v>115</v>
      </c>
      <c r="J29" s="85"/>
      <c r="K29" s="85"/>
      <c r="L29" s="85"/>
      <c r="M29" s="86"/>
      <c r="N29" s="19"/>
      <c r="P29" s="104"/>
      <c r="Q29" s="104"/>
      <c r="R29" s="103"/>
      <c r="S29" s="36" t="s">
        <v>18</v>
      </c>
      <c r="T29" s="12" t="s">
        <v>20</v>
      </c>
      <c r="U29" s="13" cm="1">
        <f t="array" ref="U29">SUM(
  _xlfn.MAP(
    _xlfn.TEXTSPLIT(T29,"+"),
    _xlfn.LAMBDA(_xlpm.x,
      LEFT(_xlpm.x,FIND("fi",_xlpm.x)-1) *
      (PI() * (VALUE(MID(_xlpm.x,FIND("fi",_xlpm.x)+2,FIND("/",_xlpm.x)-FIND("fi",_xlpm.x)-2))^2)/4) *
      (1000 / VALUE(MID(_xlpm.x,FIND("/",_xlpm.x)+1,LEN(_xlpm.x))))
    )
  )
)</f>
        <v>1570.7963267948967</v>
      </c>
      <c r="V29" s="40" t="s">
        <v>34</v>
      </c>
      <c r="W29" s="54"/>
      <c r="X29" s="51"/>
      <c r="Z29" s="38" t="s">
        <v>18</v>
      </c>
      <c r="AA29" s="12" t="s">
        <v>20</v>
      </c>
      <c r="AB29" s="13" cm="1">
        <f t="array" ref="AB29">SUM(
  _xlfn.MAP(
    _xlfn.TEXTSPLIT(AA29,"+"),
    _xlfn.LAMBDA(_xlpm.x,
      LEFT(_xlpm.x,FIND("fi",_xlpm.x)-1) *
      (PI() * (VALUE(MID(_xlpm.x,FIND("fi",_xlpm.x)+2,FIND("/",_xlpm.x)-FIND("fi",_xlpm.x)-2))^2)/4) *
      (1000 / VALUE(MID(_xlpm.x,FIND("/",_xlpm.x)+1,LEN(_xlpm.x))))
    )
  )
)</f>
        <v>1570.7963267948967</v>
      </c>
      <c r="AC29" s="40" t="s">
        <v>34</v>
      </c>
      <c r="AD29" s="54"/>
      <c r="AE29" s="51"/>
      <c r="AG29" s="38" t="s">
        <v>18</v>
      </c>
      <c r="AH29" s="12" t="s">
        <v>20</v>
      </c>
      <c r="AI29" s="13" cm="1">
        <f t="array" ref="AI29">SUM(
  _xlfn.MAP(
    _xlfn.TEXTSPLIT(AH29,"+"),
    _xlfn.LAMBDA(_xlpm.x,
      LEFT(_xlpm.x,FIND("fi",_xlpm.x)-1) *
      (PI() * (VALUE(MID(_xlpm.x,FIND("fi",_xlpm.x)+2,FIND("/",_xlpm.x)-FIND("fi",_xlpm.x)-2))^2)/4) *
      (1000 / VALUE(MID(_xlpm.x,FIND("/",_xlpm.x)+1,LEN(_xlpm.x))))
    )
  )
)</f>
        <v>1570.7963267948967</v>
      </c>
      <c r="AJ29" s="40" t="s">
        <v>34</v>
      </c>
      <c r="AK29" s="54"/>
      <c r="AL29" s="59"/>
      <c r="AM29" s="103"/>
      <c r="AN29" s="104"/>
      <c r="AO29" s="104"/>
      <c r="AQ29" s="89"/>
      <c r="AR29" s="87"/>
      <c r="AS29" s="84"/>
      <c r="AT29" s="84"/>
      <c r="AU29" s="87"/>
      <c r="AV29" s="139" t="s">
        <v>42</v>
      </c>
      <c r="AW29" s="139">
        <v>116</v>
      </c>
      <c r="AX29" s="85"/>
      <c r="AY29" s="85"/>
      <c r="AZ29" s="85"/>
      <c r="BA29" s="86"/>
      <c r="BB29" s="19"/>
    </row>
    <row r="30" spans="2:55" ht="14.4" customHeight="1" x14ac:dyDescent="0.3">
      <c r="C30" s="89"/>
      <c r="D30" s="87"/>
      <c r="E30" s="84"/>
      <c r="F30" s="84"/>
      <c r="G30" s="87"/>
      <c r="H30" s="139"/>
      <c r="I30" s="139"/>
      <c r="J30" s="84"/>
      <c r="K30" s="84"/>
      <c r="L30" s="84"/>
      <c r="M30" s="87"/>
      <c r="N30" s="19"/>
      <c r="P30" s="104"/>
      <c r="Q30" s="104"/>
      <c r="R30" s="103"/>
      <c r="S30" s="46" t="s">
        <v>70</v>
      </c>
      <c r="T30" s="43" t="s">
        <v>90</v>
      </c>
      <c r="U30" s="15" cm="1">
        <f t="array" ref="U30">IF(T30="",
    0,
    IF(ISNUMBER(SEARCH("fi",T30)),
        SUM(
          _xlfn.MAP(_xlfn.TEXTSPLIT(T30,"+"),
            _xlfn.LAMBDA(_xlpm.x,
              LEFT(_xlpm.x,FIND("fi",_xlpm.x)-1) *
              (PI() * (VALUE(MID(_xlpm.x,FIND("fi",_xlpm.x)+2,FIND("/",_xlpm.x)-FIND("fi",_xlpm.x)-2))^2) / 4) *
              (1000 / VALUE(MID(_xlpm.x,FIND("/",_xlpm.x)+1,LEN(_xlpm.x))))
            )
          )
        ),
        IF(ISNUMBER(SEARCH("PL",T30)),
            LEFT(T30,FIND("PL",T30)-1) *
            VALUE(MID(T30,FIND("PL",T30)+2,FIND("*",T30)-FIND("PL",T30)-2)) *
            VALUE(MID(T30,FIND("*",T30)+1,FIND("/",T30)-FIND("*",T30)-1)) *
            (1000 / VALUE(MID(T30,FIND("/",T30)+1,LEN(T30)))),
            IF(ISNUMBER(SEARCH("L",T30)),
                LEFT(T30,FIND("L",T30)-1) *
                (2 *
                 VALUE(MID(T30,FIND("L",T30)+1,FIND("*",T30)-FIND("L",T30)-1)) *
                 VALUE(MID(T30,FIND("*",T30)+1,FIND("/",T30)-FIND("*",T30)-1)) -
                 VALUE(MID(T30,FIND("*",T30)+1,FIND("/",T30)-FIND("*",T30)-1))^2
                ) *
                (1000 / VALUE(MID(T30,FIND("/",T30)+1,LEN(T30)))),
            0)
        )
    )
)</f>
        <v>5000</v>
      </c>
      <c r="V30" s="40" t="s">
        <v>34</v>
      </c>
      <c r="W30" s="50">
        <f>(U30)/MAX(T31,T32)</f>
        <v>1.6666666666666667</v>
      </c>
      <c r="X30" s="98">
        <f>IF(U30=0,MIN(W31,W32),W30)</f>
        <v>1.6666666666666667</v>
      </c>
      <c r="Y30" s="8"/>
      <c r="Z30" s="33" t="s">
        <v>70</v>
      </c>
      <c r="AA30" s="43" t="s">
        <v>90</v>
      </c>
      <c r="AB30" s="15" cm="1">
        <f t="array" ref="AB30">IF(AA30="",
    0,
    IF(ISNUMBER(SEARCH("fi",AA30)),
        SUM(
          _xlfn.MAP(_xlfn.TEXTSPLIT(AA30,"+"),
            _xlfn.LAMBDA(_xlpm.x,
              LEFT(_xlpm.x,FIND("fi",_xlpm.x)-1) *
              (PI() * (VALUE(MID(_xlpm.x,FIND("fi",_xlpm.x)+2,FIND("/",_xlpm.x)-FIND("fi",_xlpm.x)-2))^2) / 4) *
              (1000 / VALUE(MID(_xlpm.x,FIND("/",_xlpm.x)+1,LEN(_xlpm.x))))
            )
          )
        ),
        IF(ISNUMBER(SEARCH("PL",AA30)),
            LEFT(AA30,FIND("PL",AA30)-1) *
            VALUE(MID(AA30,FIND("PL",AA30)+2,FIND("*",AA30)-FIND("PL",AA30)-2)) *
            VALUE(MID(AA30,FIND("*",AA30)+1,FIND("/",AA30)-FIND("*",AA30)-1)) *
            (1000 / VALUE(MID(AA30,FIND("/",AA30)+1,LEN(AA30)))),
            IF(ISNUMBER(SEARCH("L",AA30)),
                LEFT(AA30,FIND("L",AA30)-1) *
                (2 *
                 VALUE(MID(AA30,FIND("L",AA30)+1,FIND("*",AA30)-FIND("L",AA30)-1)) *
                 VALUE(MID(AA30,FIND("*",AA30)+1,FIND("/",AA30)-FIND("*",AA30)-1)) -
                 VALUE(MID(AA30,FIND("*",AA30)+1,FIND("/",AA30)-FIND("*",AA30)-1))^2
                ) *
                (1000 / VALUE(MID(AA30,FIND("/",AA30)+1,LEN(AA30)))),
            0)
        )
    )
)</f>
        <v>5000</v>
      </c>
      <c r="AC30" s="40" t="s">
        <v>34</v>
      </c>
      <c r="AD30" s="50">
        <f>(AB30)/MAX(AA31,AA32)</f>
        <v>1.6666666666666667</v>
      </c>
      <c r="AE30" s="98">
        <f>IF(AB30=0,MIN(AD31,AD32),AD30)</f>
        <v>1.6666666666666667</v>
      </c>
      <c r="AG30" s="33" t="s">
        <v>70</v>
      </c>
      <c r="AH30" s="43" t="s">
        <v>90</v>
      </c>
      <c r="AI30" s="15" cm="1">
        <f t="array" ref="AI30">IF(AH30="",
    0,
    IF(ISNUMBER(SEARCH("fi",AH30)),
        SUM(
          _xlfn.MAP(_xlfn.TEXTSPLIT(AH30,"+"),
            _xlfn.LAMBDA(_xlpm.x,
              LEFT(_xlpm.x,FIND("fi",_xlpm.x)-1) *
              (PI() * (VALUE(MID(_xlpm.x,FIND("fi",_xlpm.x)+2,FIND("/",_xlpm.x)-FIND("fi",_xlpm.x)-2))^2) / 4) *
              (1000 / VALUE(MID(_xlpm.x,FIND("/",_xlpm.x)+1,LEN(_xlpm.x))))
            )
          )
        ),
        IF(ISNUMBER(SEARCH("PL",AH30)),
            LEFT(AH30,FIND("PL",AH30)-1) *
            VALUE(MID(AH30,FIND("PL",AH30)+2,FIND("*",AH30)-FIND("PL",AH30)-2)) *
            VALUE(MID(AH30,FIND("*",AH30)+1,FIND("/",AH30)-FIND("*",AH30)-1)) *
            (1000 / VALUE(MID(AH30,FIND("/",AH30)+1,LEN(AH30)))),
            IF(ISNUMBER(SEARCH("L",AH30)),
                LEFT(AH30,FIND("L",AH30)-1) *
                (2 *
                 VALUE(MID(AH30,FIND("L",AH30)+1,FIND("*",AH30)-FIND("L",AH30)-1)) *
                 VALUE(MID(AH30,FIND("*",AH30)+1,FIND("/",AH30)-FIND("*",AH30)-1)) -
                 VALUE(MID(AH30,FIND("*",AH30)+1,FIND("/",AH30)-FIND("*",AH30)-1))^2
                ) *
                (1000 / VALUE(MID(AH30,FIND("/",AH30)+1,LEN(AH30)))),
            0)
        )
    )
)</f>
        <v>5000</v>
      </c>
      <c r="AJ30" s="40" t="s">
        <v>34</v>
      </c>
      <c r="AK30" s="50">
        <f>(AI30)/MAX(AH31,AH32)</f>
        <v>1.6666666666666667</v>
      </c>
      <c r="AL30" s="120">
        <f>IF(AI30=0,MIN(AK31,AK32),AK30)</f>
        <v>1.6666666666666667</v>
      </c>
      <c r="AM30" s="103"/>
      <c r="AN30" s="104"/>
      <c r="AO30" s="104"/>
      <c r="AQ30" s="89"/>
      <c r="AR30" s="87"/>
      <c r="AS30" s="84"/>
      <c r="AT30" s="84"/>
      <c r="AU30" s="87"/>
      <c r="AV30" s="139"/>
      <c r="AW30" s="139"/>
      <c r="AX30" s="84"/>
      <c r="AY30" s="84"/>
      <c r="AZ30" s="84"/>
      <c r="BA30" s="87"/>
      <c r="BB30" s="19"/>
    </row>
    <row r="31" spans="2:55" x14ac:dyDescent="0.3">
      <c r="C31" s="89"/>
      <c r="D31" s="87"/>
      <c r="E31" s="84"/>
      <c r="F31" s="84"/>
      <c r="G31" s="87"/>
      <c r="H31" s="139"/>
      <c r="I31" s="139"/>
      <c r="J31" s="84"/>
      <c r="K31" s="84"/>
      <c r="L31" s="84"/>
      <c r="M31" s="87"/>
      <c r="N31" s="19"/>
      <c r="P31" s="104"/>
      <c r="Q31" s="104"/>
      <c r="R31" s="103"/>
      <c r="S31" s="35" t="s">
        <v>23</v>
      </c>
      <c r="T31" s="96">
        <v>2000</v>
      </c>
      <c r="U31" s="96"/>
      <c r="V31" s="39" t="s">
        <v>34</v>
      </c>
      <c r="W31" s="55">
        <f>U29/T31</f>
        <v>0.78539816339744839</v>
      </c>
      <c r="X31" s="99"/>
      <c r="Y31" s="8"/>
      <c r="Z31" s="32" t="s">
        <v>23</v>
      </c>
      <c r="AA31" s="96">
        <v>2000</v>
      </c>
      <c r="AB31" s="96"/>
      <c r="AC31" s="39" t="s">
        <v>34</v>
      </c>
      <c r="AD31" s="55">
        <f>AB29/AA31</f>
        <v>0.78539816339744839</v>
      </c>
      <c r="AE31" s="99"/>
      <c r="AG31" s="32" t="s">
        <v>23</v>
      </c>
      <c r="AH31" s="96">
        <v>2000</v>
      </c>
      <c r="AI31" s="96"/>
      <c r="AJ31" s="39" t="s">
        <v>34</v>
      </c>
      <c r="AK31" s="55">
        <f>AI29/AH31</f>
        <v>0.78539816339744839</v>
      </c>
      <c r="AL31" s="121"/>
      <c r="AM31" s="103"/>
      <c r="AN31" s="104"/>
      <c r="AO31" s="104"/>
      <c r="AQ31" s="89"/>
      <c r="AR31" s="87"/>
      <c r="AS31" s="84"/>
      <c r="AT31" s="84"/>
      <c r="AU31" s="87"/>
      <c r="AV31" s="139"/>
      <c r="AW31" s="139"/>
      <c r="AX31" s="84"/>
      <c r="AY31" s="84"/>
      <c r="AZ31" s="84"/>
      <c r="BA31" s="87"/>
      <c r="BB31" s="19"/>
    </row>
    <row r="32" spans="2:55" ht="14.4" customHeight="1" x14ac:dyDescent="0.3">
      <c r="C32" s="89"/>
      <c r="D32" s="87"/>
      <c r="E32" s="84"/>
      <c r="F32" s="84"/>
      <c r="G32" s="87"/>
      <c r="H32" s="84"/>
      <c r="I32" s="84"/>
      <c r="J32" s="84"/>
      <c r="K32" s="84"/>
      <c r="L32" s="84"/>
      <c r="M32" s="87"/>
      <c r="N32" s="19"/>
      <c r="P32" s="119" t="s">
        <v>38</v>
      </c>
      <c r="Q32" s="119"/>
      <c r="R32" s="103"/>
      <c r="S32" s="35" t="s">
        <v>24</v>
      </c>
      <c r="T32" s="96">
        <v>3000</v>
      </c>
      <c r="U32" s="96"/>
      <c r="V32" s="39" t="s">
        <v>34</v>
      </c>
      <c r="W32" s="55">
        <f>U29/T32</f>
        <v>0.52359877559829893</v>
      </c>
      <c r="X32" s="100"/>
      <c r="Y32" s="8"/>
      <c r="Z32" s="32" t="s">
        <v>24</v>
      </c>
      <c r="AA32" s="96">
        <v>3000</v>
      </c>
      <c r="AB32" s="96"/>
      <c r="AC32" s="39" t="s">
        <v>34</v>
      </c>
      <c r="AD32" s="55">
        <f>AB29/AA32</f>
        <v>0.52359877559829893</v>
      </c>
      <c r="AE32" s="100"/>
      <c r="AG32" s="32" t="s">
        <v>24</v>
      </c>
      <c r="AH32" s="96">
        <v>3000</v>
      </c>
      <c r="AI32" s="96"/>
      <c r="AJ32" s="39" t="s">
        <v>34</v>
      </c>
      <c r="AK32" s="55">
        <f>AI29/AH32</f>
        <v>0.52359877559829893</v>
      </c>
      <c r="AL32" s="122"/>
      <c r="AM32" s="103"/>
      <c r="AN32" s="119" t="s">
        <v>66</v>
      </c>
      <c r="AO32" s="119"/>
      <c r="AQ32" s="89"/>
      <c r="AR32" s="87"/>
      <c r="AS32" s="84"/>
      <c r="AT32" s="84"/>
      <c r="AU32" s="87"/>
      <c r="AV32" s="84"/>
      <c r="AW32" s="84"/>
      <c r="AX32" s="84"/>
      <c r="AY32" s="84"/>
      <c r="AZ32" s="84"/>
      <c r="BA32" s="87"/>
      <c r="BB32" s="19"/>
    </row>
    <row r="33" spans="1:55" x14ac:dyDescent="0.3">
      <c r="C33" s="123" t="s">
        <v>93</v>
      </c>
      <c r="D33" s="124"/>
      <c r="E33" s="118">
        <v>2.5000000000000001E-3</v>
      </c>
      <c r="F33" s="118"/>
      <c r="G33" s="86" t="s">
        <v>91</v>
      </c>
      <c r="H33" s="135">
        <f>E33/E34</f>
        <v>1.25</v>
      </c>
      <c r="I33" s="124" t="s">
        <v>93</v>
      </c>
      <c r="J33" s="124"/>
      <c r="K33" s="118">
        <v>2.5000000000000001E-3</v>
      </c>
      <c r="L33" s="118"/>
      <c r="M33" s="86" t="s">
        <v>91</v>
      </c>
      <c r="N33" s="133">
        <f>K33/K34</f>
        <v>1.25</v>
      </c>
      <c r="P33" s="119"/>
      <c r="Q33" s="119"/>
      <c r="S33" s="35" t="s">
        <v>78</v>
      </c>
      <c r="T33" s="96">
        <v>500</v>
      </c>
      <c r="U33" s="96"/>
      <c r="V33" s="39" t="s">
        <v>32</v>
      </c>
      <c r="W33" s="54"/>
      <c r="X33" s="51"/>
      <c r="Z33" s="32" t="s">
        <v>78</v>
      </c>
      <c r="AA33" s="96">
        <v>500</v>
      </c>
      <c r="AB33" s="96"/>
      <c r="AC33" s="39" t="s">
        <v>32</v>
      </c>
      <c r="AD33" s="54"/>
      <c r="AE33" s="51"/>
      <c r="AG33" s="32" t="s">
        <v>78</v>
      </c>
      <c r="AH33" s="96">
        <v>500</v>
      </c>
      <c r="AI33" s="96"/>
      <c r="AJ33" s="39" t="s">
        <v>32</v>
      </c>
      <c r="AK33" s="54"/>
      <c r="AL33" s="59"/>
      <c r="AN33" s="119"/>
      <c r="AO33" s="119"/>
      <c r="AQ33" s="123" t="s">
        <v>93</v>
      </c>
      <c r="AR33" s="124"/>
      <c r="AS33" s="118">
        <v>2.5000000000000001E-3</v>
      </c>
      <c r="AT33" s="118"/>
      <c r="AU33" s="86" t="s">
        <v>91</v>
      </c>
      <c r="AV33" s="135">
        <f>AS33/AS34</f>
        <v>1.25</v>
      </c>
      <c r="AW33" s="124" t="s">
        <v>93</v>
      </c>
      <c r="AX33" s="124"/>
      <c r="AY33" s="118">
        <v>2.5000000000000001E-3</v>
      </c>
      <c r="AZ33" s="118"/>
      <c r="BA33" s="86" t="s">
        <v>91</v>
      </c>
      <c r="BB33" s="133">
        <f>AY33/AY34</f>
        <v>1.25</v>
      </c>
    </row>
    <row r="34" spans="1:55" ht="15" customHeight="1" thickBot="1" x14ac:dyDescent="0.35">
      <c r="C34" s="137" t="s">
        <v>92</v>
      </c>
      <c r="D34" s="138"/>
      <c r="E34" s="125">
        <v>2E-3</v>
      </c>
      <c r="F34" s="125"/>
      <c r="G34" s="88" t="s">
        <v>91</v>
      </c>
      <c r="H34" s="136"/>
      <c r="I34" s="138" t="s">
        <v>92</v>
      </c>
      <c r="J34" s="138"/>
      <c r="K34" s="125">
        <v>2E-3</v>
      </c>
      <c r="L34" s="125"/>
      <c r="M34" s="88" t="s">
        <v>91</v>
      </c>
      <c r="N34" s="134"/>
      <c r="P34" s="119"/>
      <c r="Q34" s="119"/>
      <c r="S34" s="37" t="s">
        <v>79</v>
      </c>
      <c r="T34" s="97">
        <v>500</v>
      </c>
      <c r="U34" s="97"/>
      <c r="V34" s="42" t="s">
        <v>32</v>
      </c>
      <c r="W34" s="56"/>
      <c r="X34" s="57"/>
      <c r="Y34" s="7"/>
      <c r="Z34" s="45" t="s">
        <v>79</v>
      </c>
      <c r="AA34" s="97">
        <v>500</v>
      </c>
      <c r="AB34" s="97"/>
      <c r="AC34" s="42" t="s">
        <v>32</v>
      </c>
      <c r="AD34" s="56"/>
      <c r="AE34" s="57"/>
      <c r="AF34" s="7"/>
      <c r="AG34" s="45" t="s">
        <v>79</v>
      </c>
      <c r="AH34" s="97">
        <v>500</v>
      </c>
      <c r="AI34" s="97"/>
      <c r="AJ34" s="42" t="s">
        <v>32</v>
      </c>
      <c r="AK34" s="56"/>
      <c r="AL34" s="60"/>
      <c r="AN34" s="119"/>
      <c r="AO34" s="119"/>
      <c r="AQ34" s="137" t="s">
        <v>92</v>
      </c>
      <c r="AR34" s="138"/>
      <c r="AS34" s="125">
        <v>2E-3</v>
      </c>
      <c r="AT34" s="125"/>
      <c r="AU34" s="88" t="s">
        <v>91</v>
      </c>
      <c r="AV34" s="136"/>
      <c r="AW34" s="138" t="s">
        <v>92</v>
      </c>
      <c r="AX34" s="138"/>
      <c r="AY34" s="125">
        <v>2E-3</v>
      </c>
      <c r="AZ34" s="125"/>
      <c r="BA34" s="88" t="s">
        <v>91</v>
      </c>
      <c r="BB34" s="134"/>
    </row>
    <row r="35" spans="1:55" ht="30" customHeight="1" x14ac:dyDescent="0.3">
      <c r="H35" s="103"/>
      <c r="I35" s="103"/>
      <c r="J35" s="3"/>
      <c r="K35" s="3"/>
      <c r="L35" s="3"/>
      <c r="M35" s="3"/>
      <c r="N35" s="5"/>
      <c r="S35" s="38" t="s">
        <v>17</v>
      </c>
      <c r="T35" s="16" t="s">
        <v>19</v>
      </c>
      <c r="U35" s="17" cm="1">
        <f t="array" ref="U35">SUM(
  _xlfn.MAP(
    _xlfn.TEXTSPLIT(T35,"+"),
    _xlfn.LAMBDA(_xlpm.x,
      LEFT(_xlpm.x,FIND("fi",_xlpm.x)-1) * (PI() * (VALUE(MID(_xlpm.x,FIND("fi",_xlpm.x)+2,LEN(_xlpm.x)))^2) / 4)
    )
  )
)</f>
        <v>1847.2564803107982</v>
      </c>
      <c r="V35" s="40" t="s">
        <v>33</v>
      </c>
      <c r="W35" s="50"/>
      <c r="X35" s="51"/>
      <c r="Z35" s="38" t="s">
        <v>17</v>
      </c>
      <c r="AA35" s="16" t="s">
        <v>19</v>
      </c>
      <c r="AB35" s="17" cm="1">
        <f t="array" ref="AB35">SUM(
  _xlfn.MAP(
    _xlfn.TEXTSPLIT(AA35,"+"),
    _xlfn.LAMBDA(_xlpm.x,
      LEFT(_xlpm.x,FIND("fi",_xlpm.x)-1) * (PI() * (VALUE(MID(_xlpm.x,FIND("fi",_xlpm.x)+2,LEN(_xlpm.x)))^2) / 4)
    )
  )
)</f>
        <v>1847.2564803107982</v>
      </c>
      <c r="AC35" s="40" t="s">
        <v>33</v>
      </c>
      <c r="AD35" s="50"/>
      <c r="AE35" s="51"/>
      <c r="AG35" s="38" t="s">
        <v>17</v>
      </c>
      <c r="AH35" s="16" t="s">
        <v>19</v>
      </c>
      <c r="AI35" s="17" cm="1">
        <f t="array" ref="AI35">SUM(
  _xlfn.MAP(
    _xlfn.TEXTSPLIT(AH35,"+"),
    _xlfn.LAMBDA(_xlpm.x,
      LEFT(_xlpm.x,FIND("fi",_xlpm.x)-1) * (PI() * (VALUE(MID(_xlpm.x,FIND("fi",_xlpm.x)+2,LEN(_xlpm.x)))^2) / 4)
    )
  )
)</f>
        <v>1847.2564803107982</v>
      </c>
      <c r="AJ35" s="40" t="s">
        <v>33</v>
      </c>
      <c r="AK35" s="50"/>
      <c r="AL35" s="51"/>
      <c r="AV35" s="103"/>
      <c r="AW35" s="103"/>
      <c r="AX35" s="3"/>
      <c r="AY35" s="3"/>
      <c r="AZ35" s="3"/>
      <c r="BA35" s="3"/>
      <c r="BB35" s="5"/>
    </row>
    <row r="36" spans="1:55" ht="14.4" customHeight="1" x14ac:dyDescent="0.3">
      <c r="H36" s="3"/>
      <c r="I36" s="3"/>
      <c r="J36" s="3"/>
      <c r="K36" s="3"/>
      <c r="L36" s="3"/>
      <c r="M36" s="3"/>
      <c r="N36" s="5"/>
      <c r="S36" s="33" t="s">
        <v>67</v>
      </c>
      <c r="T36" s="43" t="s">
        <v>69</v>
      </c>
      <c r="U36" s="15" cm="1">
        <f t="array" ref="U36">IF(T36=0,0,
    IF(ISNUMBER(SEARCH("fi",T36)),
    SUM(
      _xlfn.MAP(_xlfn.TEXTSPLIT(T36,"+"),
        _xlfn.LAMBDA(_xlpm.x,
          LEFT(_xlpm.x,FIND("fi",_xlpm.x)-1) *
          (PI() * (VALUE(MID(_xlpm.x,FIND("fi",_xlpm.x)+2,LEN(_xlpm.x)))^2) / 4)
        )
      )
    ),
    IF(ISNUMBER(SEARCH("PL",T36)),
        LEFT(T36,FIND("PL",T36)-1) *
        VALUE(MID(T36,FIND("PL",T36)+2,FIND("*",T36)-FIND("PL",T36)-2)) *
        VALUE(MID(T36,FIND("*",T36)+1,LEN(T36))),
        IF(ISNUMBER(SEARCH("L",T36)),
            LEFT(T36,FIND("L",T36)-1) *
            (2*VALUE(MID(T36,FIND("L",T36)+1,FIND("*",T36)-FIND("L",T36)-1)) *
             VALUE(MID(T36,FIND("*",T36)+1,LEN(T36))) -
             VALUE(MID(T36,FIND("*",T36)+1,LEN(T36)))^2),
        "INVALID INPUT")
    )
)
)</f>
        <v>1950</v>
      </c>
      <c r="V36" s="39" t="s">
        <v>33</v>
      </c>
      <c r="W36" s="50"/>
      <c r="X36" s="51"/>
      <c r="Z36" s="33" t="s">
        <v>67</v>
      </c>
      <c r="AA36" s="43" t="s">
        <v>69</v>
      </c>
      <c r="AB36" s="15" cm="1">
        <f t="array" ref="AB36">IF(AA36=0,0,
    IF(ISNUMBER(SEARCH("fi",AA36)),
    SUM(
      _xlfn.MAP(_xlfn.TEXTSPLIT(AA36,"+"),
        _xlfn.LAMBDA(_xlpm.x,
          LEFT(_xlpm.x,FIND("fi",_xlpm.x)-1) *
          (PI() * (VALUE(MID(_xlpm.x,FIND("fi",_xlpm.x)+2,LEN(_xlpm.x)))^2) / 4)
        )
      )
    ),
    IF(ISNUMBER(SEARCH("PL",AA36)),
        LEFT(AA36,FIND("PL",AA36)-1) *
        VALUE(MID(AA36,FIND("PL",AA36)+2,FIND("*",AA36)-FIND("PL",AA36)-2)) *
        VALUE(MID(AA36,FIND("*",AA36)+1,LEN(AA36))),
        IF(ISNUMBER(SEARCH("L",AA36)),
            LEFT(AA36,FIND("L",AA36)-1) *
            (2*VALUE(MID(AA36,FIND("L",AA36)+1,FIND("*",AA36)-FIND("L",AA36)-1)) *
             VALUE(MID(AA36,FIND("*",AA36)+1,LEN(AA36))) -
             VALUE(MID(AA36,FIND("*",AA36)+1,LEN(AA36)))^2),
        "INVALID INPUT")
    )
)
)</f>
        <v>1950</v>
      </c>
      <c r="AC36" s="39" t="s">
        <v>33</v>
      </c>
      <c r="AD36" s="50"/>
      <c r="AE36" s="51"/>
      <c r="AG36" s="33" t="s">
        <v>67</v>
      </c>
      <c r="AH36" s="43" t="s">
        <v>69</v>
      </c>
      <c r="AI36" s="15" cm="1">
        <f t="array" ref="AI36">IF(AH36=0,0,
    IF(ISNUMBER(SEARCH("fi",AH36)),
    SUM(
      _xlfn.MAP(_xlfn.TEXTSPLIT(AH36,"+"),
        _xlfn.LAMBDA(_xlpm.x,
          LEFT(_xlpm.x,FIND("fi",_xlpm.x)-1) *
          (PI() * (VALUE(MID(_xlpm.x,FIND("fi",_xlpm.x)+2,LEN(_xlpm.x)))^2) / 4)
        )
      )
    ),
    IF(ISNUMBER(SEARCH("PL",AH36)),
        LEFT(AH36,FIND("PL",AH36)-1) *
        VALUE(MID(AH36,FIND("PL",AH36)+2,FIND("*",AH36)-FIND("PL",AH36)-2)) *
        VALUE(MID(AH36,FIND("*",AH36)+1,LEN(AH36))),
        IF(ISNUMBER(SEARCH("L",AH36)),
            LEFT(AH36,FIND("L",AH36)-1) *
            (2*VALUE(MID(AH36,FIND("L",AH36)+1,FIND("*",AH36)-FIND("L",AH36)-1)) *
             VALUE(MID(AH36,FIND("*",AH36)+1,LEN(AH36))) -
             VALUE(MID(AH36,FIND("*",AH36)+1,LEN(AH36)))^2),
        "INVALID INPUT")
    )
)
)</f>
        <v>1950</v>
      </c>
      <c r="AJ36" s="39" t="s">
        <v>33</v>
      </c>
      <c r="AK36" s="50"/>
      <c r="AL36" s="51"/>
      <c r="AV36" s="3"/>
      <c r="AW36" s="3"/>
      <c r="AX36" s="3"/>
      <c r="AY36" s="3"/>
      <c r="AZ36" s="3"/>
      <c r="BA36" s="3"/>
      <c r="BB36" s="5"/>
    </row>
    <row r="37" spans="1:55" ht="15" thickBot="1" x14ac:dyDescent="0.35">
      <c r="S37" s="32" t="s">
        <v>80</v>
      </c>
      <c r="T37" s="96">
        <v>2100</v>
      </c>
      <c r="U37" s="96"/>
      <c r="V37" s="39" t="s">
        <v>33</v>
      </c>
      <c r="W37" s="50"/>
      <c r="X37" s="50">
        <f>(U36+U35)/T37</f>
        <v>1.8082173715765704</v>
      </c>
      <c r="Y37" s="8"/>
      <c r="Z37" s="32" t="s">
        <v>80</v>
      </c>
      <c r="AA37" s="96">
        <v>2100</v>
      </c>
      <c r="AB37" s="96"/>
      <c r="AC37" s="39" t="s">
        <v>33</v>
      </c>
      <c r="AD37" s="50">
        <f>(AB36+AB35)/AA37</f>
        <v>1.8082173715765704</v>
      </c>
      <c r="AE37" s="51"/>
      <c r="AG37" s="32" t="s">
        <v>80</v>
      </c>
      <c r="AH37" s="96">
        <v>2100</v>
      </c>
      <c r="AI37" s="96"/>
      <c r="AJ37" s="39" t="s">
        <v>33</v>
      </c>
      <c r="AK37" s="50"/>
      <c r="AL37" s="50">
        <f>(AI36+AI35)/AH37</f>
        <v>1.8082173715765704</v>
      </c>
    </row>
    <row r="38" spans="1:55" ht="14.4" customHeight="1" x14ac:dyDescent="0.3">
      <c r="C38" s="27" t="s">
        <v>31</v>
      </c>
      <c r="D38" s="28"/>
      <c r="E38" s="28"/>
      <c r="F38" s="28"/>
      <c r="G38" s="28"/>
      <c r="H38" s="102">
        <v>50</v>
      </c>
      <c r="I38" s="102"/>
      <c r="J38" s="29"/>
      <c r="K38" s="29"/>
      <c r="L38" s="29"/>
      <c r="M38" s="141" t="s">
        <v>32</v>
      </c>
      <c r="N38" s="142"/>
      <c r="O38" s="9"/>
      <c r="P38" s="9"/>
      <c r="R38" s="9"/>
      <c r="S38" s="32" t="s">
        <v>81</v>
      </c>
      <c r="T38" s="96">
        <v>2000</v>
      </c>
      <c r="U38" s="96"/>
      <c r="V38" s="39" t="s">
        <v>33</v>
      </c>
      <c r="W38" s="50"/>
      <c r="X38" s="83">
        <f>(U36+U35)/T38</f>
        <v>1.8986282401553991</v>
      </c>
      <c r="Y38" s="8"/>
      <c r="Z38" s="32" t="s">
        <v>81</v>
      </c>
      <c r="AA38" s="96">
        <v>2000</v>
      </c>
      <c r="AB38" s="96"/>
      <c r="AC38" s="39" t="s">
        <v>33</v>
      </c>
      <c r="AD38" s="50">
        <f>(AB36+AB35)/AA38</f>
        <v>1.8986282401553991</v>
      </c>
      <c r="AE38" s="51"/>
      <c r="AG38" s="32" t="s">
        <v>81</v>
      </c>
      <c r="AH38" s="96">
        <v>2000</v>
      </c>
      <c r="AI38" s="96"/>
      <c r="AJ38" s="39" t="s">
        <v>33</v>
      </c>
      <c r="AK38" s="50"/>
      <c r="AL38" s="83">
        <f>(AI36+AI35)/AH38</f>
        <v>1.8986282401553991</v>
      </c>
      <c r="AQ38" s="27" t="s">
        <v>31</v>
      </c>
      <c r="AR38" s="28"/>
      <c r="AS38" s="28"/>
      <c r="AT38" s="28"/>
      <c r="AU38" s="28"/>
      <c r="AV38" s="102">
        <v>50</v>
      </c>
      <c r="AW38" s="102"/>
      <c r="AX38" s="29"/>
      <c r="AY38" s="29"/>
      <c r="AZ38" s="29"/>
      <c r="BA38" s="141" t="s">
        <v>32</v>
      </c>
      <c r="BB38" s="142"/>
      <c r="BC38" s="9"/>
    </row>
    <row r="39" spans="1:55" x14ac:dyDescent="0.3">
      <c r="C39" s="22"/>
      <c r="N39" s="23"/>
      <c r="AI39" s="47"/>
      <c r="AQ39" s="22"/>
      <c r="BB39" s="23"/>
    </row>
    <row r="40" spans="1:55" x14ac:dyDescent="0.3">
      <c r="C40" s="22"/>
      <c r="H40" t="s">
        <v>36</v>
      </c>
      <c r="I40" s="3" t="s">
        <v>37</v>
      </c>
      <c r="J40" s="3"/>
      <c r="K40" s="3"/>
      <c r="L40" s="3"/>
      <c r="M40" s="3"/>
      <c r="N40" s="23"/>
      <c r="AA40" s="10" t="s">
        <v>0</v>
      </c>
      <c r="AB40" s="11">
        <v>10</v>
      </c>
      <c r="AC40" s="9" t="s">
        <v>41</v>
      </c>
      <c r="AQ40" s="22"/>
      <c r="AV40" t="s">
        <v>36</v>
      </c>
      <c r="AW40" s="3" t="s">
        <v>37</v>
      </c>
      <c r="AX40" s="3"/>
      <c r="AY40" s="3"/>
      <c r="AZ40" s="3"/>
      <c r="BA40" s="3"/>
      <c r="BB40" s="23"/>
    </row>
    <row r="41" spans="1:55" ht="14.4" customHeight="1" x14ac:dyDescent="0.3">
      <c r="B41" s="2"/>
      <c r="C41" s="30"/>
      <c r="D41" s="2"/>
      <c r="E41" s="2"/>
      <c r="F41" s="2"/>
      <c r="G41" s="2"/>
      <c r="H41" s="2"/>
      <c r="I41" s="2"/>
      <c r="J41" s="2"/>
      <c r="K41" s="2"/>
      <c r="L41" s="2"/>
      <c r="M41" s="2"/>
      <c r="N41" s="31"/>
      <c r="O41" s="2"/>
      <c r="AP41" s="2"/>
      <c r="AQ41" s="30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1"/>
      <c r="BC41" s="2"/>
    </row>
    <row r="43" spans="1:55" x14ac:dyDescent="0.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</row>
    <row r="44" spans="1:55" x14ac:dyDescent="0.3">
      <c r="B44" s="61"/>
      <c r="C44" s="61"/>
      <c r="D44" s="61"/>
      <c r="E44" s="61"/>
      <c r="F44" s="61"/>
      <c r="G44" s="61"/>
      <c r="H44" s="92" t="s">
        <v>10</v>
      </c>
      <c r="I44" s="94"/>
      <c r="J44" s="61"/>
      <c r="K44" s="61"/>
      <c r="L44" s="61"/>
      <c r="M44" s="61"/>
      <c r="N44" s="61"/>
      <c r="O44" s="61"/>
      <c r="P44" s="61"/>
      <c r="Q44" s="61"/>
      <c r="R44" s="61"/>
      <c r="S44" s="92" t="s">
        <v>10</v>
      </c>
      <c r="T44" s="94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92" t="s">
        <v>10</v>
      </c>
      <c r="AK44" s="93"/>
      <c r="AL44" s="94"/>
      <c r="AM44" s="61"/>
      <c r="AN44" s="61"/>
      <c r="AO44" s="61"/>
      <c r="AP44" s="61"/>
      <c r="AQ44" s="61"/>
      <c r="AR44" s="61"/>
      <c r="AS44" s="61"/>
      <c r="AT44" s="61"/>
      <c r="AU44" s="61"/>
      <c r="AV44" s="92" t="s">
        <v>10</v>
      </c>
      <c r="AW44" s="94"/>
      <c r="AX44" s="61"/>
      <c r="AY44" s="61"/>
      <c r="AZ44" s="61"/>
      <c r="BA44" s="61"/>
      <c r="BB44" s="61"/>
      <c r="BC44" s="61"/>
    </row>
    <row r="45" spans="1:55" x14ac:dyDescent="0.3">
      <c r="B45" s="61"/>
      <c r="C45" s="61"/>
      <c r="D45" s="61"/>
      <c r="E45" s="61"/>
      <c r="F45" s="61"/>
      <c r="G45" s="61"/>
      <c r="H45" s="66" t="s">
        <v>11</v>
      </c>
      <c r="I45" s="67" t="s">
        <v>13</v>
      </c>
      <c r="J45" s="61"/>
      <c r="K45" s="61"/>
      <c r="L45" s="61"/>
      <c r="M45" s="61"/>
      <c r="N45" s="61"/>
      <c r="O45" s="61"/>
      <c r="P45" s="61"/>
      <c r="Q45" s="61"/>
      <c r="R45" s="61"/>
      <c r="S45" s="66" t="s">
        <v>60</v>
      </c>
      <c r="T45" s="67" t="s">
        <v>13</v>
      </c>
      <c r="U45" s="61"/>
      <c r="V45" s="61"/>
      <c r="W45" s="61"/>
      <c r="X45" s="61"/>
      <c r="Y45" s="61"/>
      <c r="Z45" s="61"/>
      <c r="AA45" s="61"/>
      <c r="AB45" s="61"/>
      <c r="AC45" s="65"/>
      <c r="AD45" s="65"/>
      <c r="AE45" s="61"/>
      <c r="AF45" s="61"/>
      <c r="AG45" s="61"/>
      <c r="AH45" s="61"/>
      <c r="AI45" s="61"/>
      <c r="AJ45" s="66" t="s">
        <v>60</v>
      </c>
      <c r="AK45" s="113" t="s">
        <v>13</v>
      </c>
      <c r="AL45" s="114"/>
      <c r="AM45" s="61"/>
      <c r="AN45" s="61"/>
      <c r="AO45" s="61"/>
      <c r="AP45" s="61"/>
      <c r="AQ45" s="61"/>
      <c r="AR45" s="61"/>
      <c r="AS45" s="61"/>
      <c r="AT45" s="61"/>
      <c r="AU45" s="61"/>
      <c r="AV45" s="66" t="s">
        <v>11</v>
      </c>
      <c r="AW45" s="67" t="s">
        <v>13</v>
      </c>
      <c r="AX45" s="61"/>
      <c r="AY45" s="61"/>
      <c r="AZ45" s="61"/>
      <c r="BA45" s="61"/>
      <c r="BB45" s="61"/>
      <c r="BC45" s="61"/>
    </row>
    <row r="46" spans="1:55" x14ac:dyDescent="0.3">
      <c r="B46" s="61"/>
      <c r="C46" s="61"/>
      <c r="D46" s="61"/>
      <c r="E46" s="61"/>
      <c r="F46" s="61"/>
      <c r="G46" s="61"/>
      <c r="H46" s="73" t="s">
        <v>12</v>
      </c>
      <c r="I46" s="77" t="s">
        <v>13</v>
      </c>
      <c r="J46" s="61"/>
      <c r="K46" s="61"/>
      <c r="L46" s="61"/>
      <c r="M46" s="61"/>
      <c r="N46" s="61"/>
      <c r="O46" s="61"/>
      <c r="P46" s="61"/>
      <c r="Q46" s="61"/>
      <c r="R46" s="61"/>
      <c r="S46" s="66" t="s">
        <v>61</v>
      </c>
      <c r="T46" s="67" t="s">
        <v>13</v>
      </c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6" t="s">
        <v>61</v>
      </c>
      <c r="AK46" s="113" t="s">
        <v>13</v>
      </c>
      <c r="AL46" s="114"/>
      <c r="AM46" s="61"/>
      <c r="AN46" s="61"/>
      <c r="AO46" s="61"/>
      <c r="AP46" s="61"/>
      <c r="AQ46" s="61"/>
      <c r="AR46" s="61"/>
      <c r="AS46" s="61"/>
      <c r="AT46" s="61"/>
      <c r="AU46" s="61"/>
      <c r="AV46" s="73" t="s">
        <v>12</v>
      </c>
      <c r="AW46" s="77" t="s">
        <v>13</v>
      </c>
      <c r="AX46" s="61"/>
      <c r="AY46" s="61"/>
      <c r="AZ46" s="61"/>
      <c r="BA46" s="61"/>
      <c r="BB46" s="61"/>
      <c r="BC46" s="61"/>
    </row>
    <row r="47" spans="1:55" x14ac:dyDescent="0.3"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6" t="s">
        <v>62</v>
      </c>
      <c r="T47" s="67" t="s">
        <v>13</v>
      </c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6" t="s">
        <v>62</v>
      </c>
      <c r="AK47" s="113" t="s">
        <v>13</v>
      </c>
      <c r="AL47" s="114"/>
      <c r="AM47" s="61"/>
      <c r="AN47" s="61"/>
      <c r="AO47" s="61"/>
      <c r="AP47" s="61"/>
      <c r="AQ47" s="61"/>
      <c r="AR47" s="61"/>
      <c r="AS47" s="61"/>
      <c r="AT47" s="61"/>
      <c r="AU47" s="61"/>
      <c r="AV47" s="61"/>
    </row>
    <row r="48" spans="1:55" x14ac:dyDescent="0.3"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6" t="s">
        <v>46</v>
      </c>
      <c r="T48" s="67" t="s">
        <v>13</v>
      </c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6" t="s">
        <v>46</v>
      </c>
      <c r="AK48" s="113" t="s">
        <v>13</v>
      </c>
      <c r="AL48" s="114"/>
      <c r="AM48" s="61"/>
      <c r="AN48" s="61"/>
      <c r="AO48" s="61"/>
      <c r="AP48" s="61"/>
      <c r="AQ48" s="61"/>
      <c r="AR48" s="61"/>
      <c r="AS48" s="61"/>
      <c r="AT48" s="61"/>
      <c r="AU48" s="61"/>
      <c r="AV48" s="61"/>
    </row>
    <row r="49" spans="2:48" x14ac:dyDescent="0.3"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6" t="s">
        <v>11</v>
      </c>
      <c r="T49" s="67" t="s">
        <v>13</v>
      </c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79"/>
      <c r="AI49" s="61"/>
      <c r="AJ49" s="66" t="s">
        <v>11</v>
      </c>
      <c r="AK49" s="113" t="s">
        <v>13</v>
      </c>
      <c r="AL49" s="114"/>
      <c r="AM49" s="61"/>
      <c r="AN49" s="61"/>
      <c r="AO49" s="61"/>
      <c r="AP49" s="61"/>
      <c r="AQ49" s="61"/>
      <c r="AR49" s="61"/>
      <c r="AS49" s="61"/>
      <c r="AT49" s="61"/>
      <c r="AU49" s="61"/>
      <c r="AV49" s="61"/>
    </row>
    <row r="50" spans="2:48" x14ac:dyDescent="0.3">
      <c r="B50" s="61"/>
      <c r="C50" s="61"/>
      <c r="D50" s="61"/>
      <c r="E50" s="61"/>
      <c r="F50" s="61"/>
      <c r="G50" s="61"/>
      <c r="H50" s="61"/>
      <c r="I50" s="80"/>
      <c r="J50" s="80"/>
      <c r="K50" s="80"/>
      <c r="L50" s="80"/>
      <c r="M50" s="80"/>
      <c r="N50" s="61"/>
      <c r="O50" s="61"/>
      <c r="P50" s="61"/>
      <c r="Q50" s="61"/>
      <c r="R50" s="61"/>
      <c r="S50" s="73" t="s">
        <v>12</v>
      </c>
      <c r="T50" s="77" t="s">
        <v>13</v>
      </c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79"/>
      <c r="AI50" s="61"/>
      <c r="AJ50" s="73" t="s">
        <v>12</v>
      </c>
      <c r="AK50" s="91" t="s">
        <v>13</v>
      </c>
      <c r="AL50" s="140"/>
      <c r="AM50" s="61"/>
      <c r="AN50" s="61"/>
      <c r="AO50" s="61"/>
      <c r="AP50" s="61"/>
      <c r="AQ50" s="61"/>
      <c r="AR50" s="61"/>
      <c r="AS50" s="61"/>
      <c r="AT50" s="61"/>
      <c r="AU50" s="61"/>
      <c r="AV50" s="61"/>
    </row>
    <row r="51" spans="2:48" x14ac:dyDescent="0.3"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</row>
    <row r="52" spans="2:48" x14ac:dyDescent="0.3"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92" t="s">
        <v>4</v>
      </c>
      <c r="T52" s="93"/>
      <c r="U52" s="81">
        <v>0.35</v>
      </c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92" t="s">
        <v>4</v>
      </c>
      <c r="AJ52" s="93"/>
      <c r="AK52" s="93">
        <v>0.35</v>
      </c>
      <c r="AL52" s="94"/>
      <c r="AM52" s="61"/>
      <c r="AN52" s="61"/>
      <c r="AO52" s="61"/>
      <c r="AP52" s="61"/>
      <c r="AQ52" s="61"/>
      <c r="AR52" s="61"/>
      <c r="AS52" s="61"/>
      <c r="AT52" s="61"/>
      <c r="AU52" s="61"/>
      <c r="AV52" s="61"/>
    </row>
    <row r="53" spans="2:48" x14ac:dyDescent="0.3"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90" t="s">
        <v>5</v>
      </c>
      <c r="T53" s="91"/>
      <c r="U53" s="82">
        <v>0.5</v>
      </c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90" t="s">
        <v>5</v>
      </c>
      <c r="AJ53" s="91"/>
      <c r="AK53" s="91">
        <v>0.5</v>
      </c>
      <c r="AL53" s="140"/>
      <c r="AM53" s="61"/>
      <c r="AN53" s="61"/>
      <c r="AO53" s="61"/>
      <c r="AP53" s="61"/>
      <c r="AQ53" s="61"/>
      <c r="AR53" s="61"/>
      <c r="AS53" s="61"/>
      <c r="AT53" s="61"/>
      <c r="AU53" s="61"/>
      <c r="AV53" s="61"/>
    </row>
  </sheetData>
  <mergeCells count="153">
    <mergeCell ref="AK53:AL53"/>
    <mergeCell ref="M38:N38"/>
    <mergeCell ref="M21:N21"/>
    <mergeCell ref="BA21:BB21"/>
    <mergeCell ref="BA38:BB38"/>
    <mergeCell ref="AK47:AL47"/>
    <mergeCell ref="AK48:AL48"/>
    <mergeCell ref="AK49:AL49"/>
    <mergeCell ref="AK50:AL50"/>
    <mergeCell ref="AK52:AL52"/>
    <mergeCell ref="AV35:AW35"/>
    <mergeCell ref="AV38:AW38"/>
    <mergeCell ref="AV44:AW44"/>
    <mergeCell ref="AK45:AL45"/>
    <mergeCell ref="AK46:AL46"/>
    <mergeCell ref="AY33:AZ33"/>
    <mergeCell ref="BB33:BB34"/>
    <mergeCell ref="AQ34:AR34"/>
    <mergeCell ref="AS34:AT34"/>
    <mergeCell ref="AW34:AX34"/>
    <mergeCell ref="AY34:AZ34"/>
    <mergeCell ref="AW29:AW31"/>
    <mergeCell ref="AQ33:AR33"/>
    <mergeCell ref="AS33:AT33"/>
    <mergeCell ref="AV33:AV34"/>
    <mergeCell ref="AW33:AX33"/>
    <mergeCell ref="AX25:BB25"/>
    <mergeCell ref="AV26:AW26"/>
    <mergeCell ref="AV27:AV28"/>
    <mergeCell ref="AW27:AX27"/>
    <mergeCell ref="AY27:AZ27"/>
    <mergeCell ref="BB27:BB28"/>
    <mergeCell ref="AW28:AX28"/>
    <mergeCell ref="AY28:AZ28"/>
    <mergeCell ref="AV29:AV31"/>
    <mergeCell ref="AV10:AW10"/>
    <mergeCell ref="AV21:AW21"/>
    <mergeCell ref="AV22:AW22"/>
    <mergeCell ref="AQ25:AU25"/>
    <mergeCell ref="AV25:AW25"/>
    <mergeCell ref="N33:N34"/>
    <mergeCell ref="N27:N28"/>
    <mergeCell ref="C27:D27"/>
    <mergeCell ref="E27:F27"/>
    <mergeCell ref="H27:H28"/>
    <mergeCell ref="C28:D28"/>
    <mergeCell ref="E28:F28"/>
    <mergeCell ref="C33:D33"/>
    <mergeCell ref="E33:F33"/>
    <mergeCell ref="H33:H34"/>
    <mergeCell ref="C34:D34"/>
    <mergeCell ref="E34:F34"/>
    <mergeCell ref="H29:H31"/>
    <mergeCell ref="I29:I31"/>
    <mergeCell ref="I33:J33"/>
    <mergeCell ref="I34:J34"/>
    <mergeCell ref="K27:L27"/>
    <mergeCell ref="K28:L28"/>
    <mergeCell ref="K33:L33"/>
    <mergeCell ref="K34:L34"/>
    <mergeCell ref="V11:W11"/>
    <mergeCell ref="V12:W12"/>
    <mergeCell ref="Z16:AA18"/>
    <mergeCell ref="AB16:AC18"/>
    <mergeCell ref="H21:I21"/>
    <mergeCell ref="T20:U20"/>
    <mergeCell ref="AA20:AB20"/>
    <mergeCell ref="AC14:AD14"/>
    <mergeCell ref="T14:W14"/>
    <mergeCell ref="AA14:AB14"/>
    <mergeCell ref="AA25:AB25"/>
    <mergeCell ref="T21:U21"/>
    <mergeCell ref="J25:N25"/>
    <mergeCell ref="H25:I25"/>
    <mergeCell ref="H22:I22"/>
    <mergeCell ref="AA21:AB21"/>
    <mergeCell ref="H26:I26"/>
    <mergeCell ref="I27:J27"/>
    <mergeCell ref="I28:J28"/>
    <mergeCell ref="AS28:AT28"/>
    <mergeCell ref="R27:R32"/>
    <mergeCell ref="P32:Q34"/>
    <mergeCell ref="AL30:AL32"/>
    <mergeCell ref="T27:U27"/>
    <mergeCell ref="AQ28:AR28"/>
    <mergeCell ref="AM27:AM32"/>
    <mergeCell ref="AN25:AO27"/>
    <mergeCell ref="AN28:AN31"/>
    <mergeCell ref="AO28:AO31"/>
    <mergeCell ref="AN32:AO34"/>
    <mergeCell ref="AQ27:AR27"/>
    <mergeCell ref="AS27:AT27"/>
    <mergeCell ref="P25:Q27"/>
    <mergeCell ref="Q28:Q31"/>
    <mergeCell ref="T25:U25"/>
    <mergeCell ref="C25:G25"/>
    <mergeCell ref="AH26:AI26"/>
    <mergeCell ref="AH33:AI33"/>
    <mergeCell ref="X30:X32"/>
    <mergeCell ref="AA26:AB26"/>
    <mergeCell ref="AA33:AB33"/>
    <mergeCell ref="H10:I10"/>
    <mergeCell ref="AE2:AG2"/>
    <mergeCell ref="AE7:AG7"/>
    <mergeCell ref="AI2:AJ2"/>
    <mergeCell ref="V2:W2"/>
    <mergeCell ref="AA2:AB2"/>
    <mergeCell ref="AA5:AB5"/>
    <mergeCell ref="AA3:AB3"/>
    <mergeCell ref="S10:T10"/>
    <mergeCell ref="S2:T2"/>
    <mergeCell ref="S3:T3"/>
    <mergeCell ref="S6:T6"/>
    <mergeCell ref="AJ44:AL44"/>
    <mergeCell ref="AH21:AI21"/>
    <mergeCell ref="AA37:AB37"/>
    <mergeCell ref="AH37:AI37"/>
    <mergeCell ref="T37:U37"/>
    <mergeCell ref="AG17:AH17"/>
    <mergeCell ref="S5:T5"/>
    <mergeCell ref="S8:T8"/>
    <mergeCell ref="S44:T44"/>
    <mergeCell ref="T26:U26"/>
    <mergeCell ref="T33:U33"/>
    <mergeCell ref="T31:U31"/>
    <mergeCell ref="T32:U32"/>
    <mergeCell ref="T28:U28"/>
    <mergeCell ref="T34:U34"/>
    <mergeCell ref="T38:U38"/>
    <mergeCell ref="S53:T53"/>
    <mergeCell ref="AI52:AJ52"/>
    <mergeCell ref="AI53:AJ53"/>
    <mergeCell ref="H44:I44"/>
    <mergeCell ref="AE14:AG14"/>
    <mergeCell ref="AH38:AI38"/>
    <mergeCell ref="AH20:AI20"/>
    <mergeCell ref="AA31:AB31"/>
    <mergeCell ref="AA32:AB32"/>
    <mergeCell ref="AH31:AI31"/>
    <mergeCell ref="AH32:AI32"/>
    <mergeCell ref="AA34:AB34"/>
    <mergeCell ref="AE30:AE32"/>
    <mergeCell ref="AA27:AB27"/>
    <mergeCell ref="AA38:AB38"/>
    <mergeCell ref="AA28:AB28"/>
    <mergeCell ref="AH25:AI25"/>
    <mergeCell ref="AH27:AI27"/>
    <mergeCell ref="AH28:AI28"/>
    <mergeCell ref="AH34:AI34"/>
    <mergeCell ref="S52:T52"/>
    <mergeCell ref="H38:I38"/>
    <mergeCell ref="H35:I35"/>
    <mergeCell ref="P28:P31"/>
  </mergeCells>
  <phoneticPr fontId="1" type="noConversion"/>
  <conditionalFormatting sqref="H26:H27 AV26:AV27 N27 BB27 H33 N33 AV33 BB33">
    <cfRule type="cellIs" dxfId="4" priority="7" operator="notBetween">
      <formula>0</formula>
      <formula>1</formula>
    </cfRule>
    <cfRule type="cellIs" dxfId="3" priority="8" operator="between">
      <formula>0</formula>
      <formula>1</formula>
    </cfRule>
  </conditionalFormatting>
  <conditionalFormatting sqref="T24 AA24 AH24 T30 AA30 AH30 T36 AA36 AH36">
    <cfRule type="cellIs" dxfId="2" priority="21" operator="notEqual">
      <formula>0</formula>
    </cfRule>
    <cfRule type="cellIs" priority="22" operator="equal">
      <formula>0</formula>
    </cfRule>
  </conditionalFormatting>
  <conditionalFormatting sqref="W20:X21 AD20:AD21 AK20:AL21 X30 AE30 AL30 W30:W32 AD30:AD32 AK30:AK32 X37:X38 AD37:AD38 AL37:AL38">
    <cfRule type="cellIs" dxfId="1" priority="24" operator="notBetween">
      <formula>0</formula>
      <formula>1</formula>
    </cfRule>
    <cfRule type="cellIs" dxfId="0" priority="25" operator="between">
      <formula>0</formula>
      <formula>1</formula>
    </cfRule>
  </conditionalFormatting>
  <pageMargins left="0.7" right="0.7" top="0.75" bottom="0.75" header="0.3" footer="0.3"/>
  <pageSetup paperSize="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cp:lastPrinted>2025-10-01T16:39:51Z</cp:lastPrinted>
  <dcterms:created xsi:type="dcterms:W3CDTF">2025-09-12T10:51:30Z</dcterms:created>
  <dcterms:modified xsi:type="dcterms:W3CDTF">2025-10-14T21:14:59Z</dcterms:modified>
</cp:coreProperties>
</file>